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2b0481697f44041/Escritorio/LISTADOS DE PRECIOS DISTRIBUIDORES Y MI PILETA/"/>
    </mc:Choice>
  </mc:AlternateContent>
  <xr:revisionPtr revIDLastSave="57" documentId="8_{E9DA0FFE-5A56-408E-9793-8788518F8167}" xr6:coauthVersionLast="47" xr6:coauthVersionMax="47" xr10:uidLastSave="{D0D5C0DD-A73F-4D1E-A392-D17942BEB52F}"/>
  <bookViews>
    <workbookView minimized="1" xWindow="13416" yWindow="2616" windowWidth="7500" windowHeight="6000" tabRatio="827" activeTab="2" xr2:uid="{00000000-000D-0000-FFFF-FFFF00000000}"/>
  </bookViews>
  <sheets>
    <sheet name="ETNA" sheetId="2" r:id="rId1"/>
    <sheet name="ESSENTIA" sheetId="3" r:id="rId2"/>
    <sheet name="DESIGNIA" sheetId="4" r:id="rId3"/>
    <sheet name="VESTA" sheetId="5" r:id="rId4"/>
    <sheet name="ECONOMICA" sheetId="6" r:id="rId5"/>
    <sheet name="ZINGARA" sheetId="7" r:id="rId6"/>
    <sheet name="NOVA" sheetId="8" r:id="rId7"/>
    <sheet name="LAVADERO" sheetId="9" r:id="rId8"/>
    <sheet name="Hoja1" sheetId="13" state="hidden" r:id="rId9"/>
    <sheet name="ACCESORIOS" sheetId="11" r:id="rId10"/>
    <sheet name="REPUESTOS" sheetId="14" r:id="rId11"/>
    <sheet name="ADICIONALES" sheetId="12" r:id="rId12"/>
  </sheets>
  <definedNames>
    <definedName name="_xlnm._FilterDatabase" localSheetId="9" hidden="1">ACCESORIOS!$A$15:$E$59</definedName>
    <definedName name="_xlnm._FilterDatabase" localSheetId="11" hidden="1">ADICIONALES!$A$14:$E$21</definedName>
    <definedName name="_xlnm._FilterDatabase" localSheetId="2" hidden="1">DESIGNIA!$A$14:$E$21</definedName>
    <definedName name="_xlnm._FilterDatabase" localSheetId="4" hidden="1">ECONOMICA!$A$14:$E$24</definedName>
    <definedName name="_xlnm._FilterDatabase" localSheetId="1" hidden="1">ESSENTIA!$A$14:$E$22</definedName>
    <definedName name="_xlnm._FilterDatabase" localSheetId="0" hidden="1">ETNA!$A$14:$E$20</definedName>
    <definedName name="_xlnm._FilterDatabase" localSheetId="7" hidden="1">LAVADERO!$A$14:$E$18</definedName>
    <definedName name="_xlnm._FilterDatabase" localSheetId="6" hidden="1">NOVA!$A$14:$E$25</definedName>
    <definedName name="_xlnm._FilterDatabase" localSheetId="10" hidden="1">REPUESTOS!$A$15:$E$30</definedName>
    <definedName name="_xlnm._FilterDatabase" localSheetId="3" hidden="1">VESTA!$A$14:$E$56</definedName>
    <definedName name="_xlnm._FilterDatabase" localSheetId="5" hidden="1">ZINGARA!$A$14:$E$19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1" l="1"/>
  <c r="E17" i="11"/>
  <c r="E18" i="11"/>
  <c r="E30" i="14" l="1"/>
  <c r="E23" i="14"/>
  <c r="E22" i="14"/>
  <c r="E17" i="14"/>
  <c r="E16" i="14"/>
  <c r="E19" i="14"/>
  <c r="E20" i="14"/>
  <c r="E21" i="14"/>
  <c r="E18" i="14"/>
  <c r="E20" i="2" l="1"/>
  <c r="E17" i="2"/>
  <c r="E18" i="2"/>
  <c r="E19" i="2"/>
  <c r="E16" i="2"/>
  <c r="E15" i="2"/>
  <c r="E15" i="4"/>
  <c r="M12" i="13" l="1"/>
  <c r="N12" i="13" s="1"/>
  <c r="M13" i="13"/>
  <c r="N13" i="13" s="1"/>
  <c r="M14" i="13"/>
  <c r="N14" i="13" s="1"/>
  <c r="M15" i="13"/>
  <c r="N15" i="13" s="1"/>
  <c r="M11" i="13"/>
  <c r="N11" i="13" s="1"/>
  <c r="H12" i="13"/>
  <c r="I12" i="13" s="1"/>
  <c r="H13" i="13"/>
  <c r="I13" i="13" s="1"/>
  <c r="H14" i="13"/>
  <c r="I14" i="13" s="1"/>
  <c r="H15" i="13"/>
  <c r="I15" i="13" s="1"/>
  <c r="H11" i="13"/>
  <c r="I11" i="13" s="1"/>
  <c r="C12" i="13"/>
  <c r="D12" i="13" s="1"/>
  <c r="C13" i="13"/>
  <c r="D13" i="13" s="1"/>
  <c r="C14" i="13"/>
  <c r="D14" i="13" s="1"/>
  <c r="C15" i="13"/>
  <c r="D15" i="13" s="1"/>
  <c r="C11" i="13"/>
  <c r="D11" i="13" s="1"/>
  <c r="M3" i="13"/>
  <c r="N3" i="13" s="1"/>
  <c r="M4" i="13"/>
  <c r="N4" i="13" s="1"/>
  <c r="M5" i="13"/>
  <c r="N5" i="13" s="1"/>
  <c r="M6" i="13"/>
  <c r="N6" i="13" s="1"/>
  <c r="H3" i="13"/>
  <c r="I3" i="13" s="1"/>
  <c r="H4" i="13"/>
  <c r="I4" i="13" s="1"/>
  <c r="H5" i="13"/>
  <c r="I5" i="13" s="1"/>
  <c r="H6" i="13"/>
  <c r="I6" i="13" s="1"/>
  <c r="M2" i="13"/>
  <c r="N2" i="13" s="1"/>
  <c r="H2" i="13"/>
  <c r="I2" i="13" s="1"/>
  <c r="C3" i="13"/>
  <c r="D3" i="13" s="1"/>
  <c r="C4" i="13"/>
  <c r="D4" i="13" s="1"/>
  <c r="C5" i="13"/>
  <c r="D5" i="13" s="1"/>
  <c r="C6" i="13"/>
  <c r="D6" i="13" s="1"/>
  <c r="C2" i="13"/>
  <c r="D2" i="13" s="1"/>
  <c r="E59" i="11" l="1"/>
  <c r="E16" i="12" l="1"/>
  <c r="E17" i="12"/>
  <c r="E18" i="12"/>
  <c r="E19" i="12"/>
  <c r="E20" i="12"/>
  <c r="E21" i="12"/>
  <c r="E15" i="12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16" i="9"/>
  <c r="E17" i="9"/>
  <c r="E18" i="9"/>
  <c r="E15" i="9"/>
  <c r="E16" i="8"/>
  <c r="E17" i="8"/>
  <c r="E18" i="8"/>
  <c r="E19" i="8"/>
  <c r="E20" i="8"/>
  <c r="E21" i="8"/>
  <c r="E22" i="8"/>
  <c r="E23" i="8"/>
  <c r="E24" i="8"/>
  <c r="E25" i="8"/>
  <c r="E15" i="8"/>
  <c r="E16" i="7"/>
  <c r="E17" i="7"/>
  <c r="E18" i="7"/>
  <c r="E19" i="7"/>
  <c r="E15" i="7"/>
  <c r="E16" i="6"/>
  <c r="E17" i="6"/>
  <c r="E18" i="6"/>
  <c r="E19" i="6"/>
  <c r="E20" i="6"/>
  <c r="E21" i="6"/>
  <c r="E22" i="6"/>
  <c r="E23" i="6"/>
  <c r="E24" i="6"/>
  <c r="E15" i="6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15" i="5"/>
  <c r="E16" i="4"/>
  <c r="E17" i="4"/>
  <c r="E18" i="4"/>
  <c r="E19" i="4"/>
  <c r="E20" i="4"/>
  <c r="E21" i="4"/>
  <c r="E16" i="3"/>
  <c r="E17" i="3"/>
  <c r="E18" i="3"/>
  <c r="E19" i="3"/>
  <c r="E20" i="3"/>
  <c r="E21" i="3"/>
  <c r="E22" i="3"/>
  <c r="E15" i="3"/>
</calcChain>
</file>

<file path=xl/sharedStrings.xml><?xml version="1.0" encoding="utf-8"?>
<sst xmlns="http://schemas.openxmlformats.org/spreadsheetml/2006/main" count="324" uniqueCount="248">
  <si>
    <t xml:space="preserve">718 BLACK </t>
  </si>
  <si>
    <t>660 BLACK</t>
  </si>
  <si>
    <t>640 BLACK</t>
  </si>
  <si>
    <t>670 BLACK</t>
  </si>
  <si>
    <t>671 BLACK</t>
  </si>
  <si>
    <t>101EC</t>
  </si>
  <si>
    <t>102EC</t>
  </si>
  <si>
    <t>103T</t>
  </si>
  <si>
    <t>103EC</t>
  </si>
  <si>
    <t>103P</t>
  </si>
  <si>
    <t>143EC</t>
  </si>
  <si>
    <t>104EC</t>
  </si>
  <si>
    <t>104P</t>
  </si>
  <si>
    <t>105EC</t>
  </si>
  <si>
    <t>106EC</t>
  </si>
  <si>
    <t>410P</t>
  </si>
  <si>
    <t>300E</t>
  </si>
  <si>
    <t>403-E</t>
  </si>
  <si>
    <t>410-E</t>
  </si>
  <si>
    <t>443-E</t>
  </si>
  <si>
    <t>460-E</t>
  </si>
  <si>
    <t>500-E</t>
  </si>
  <si>
    <t>800-E</t>
  </si>
  <si>
    <t>801-E</t>
  </si>
  <si>
    <t>802-E</t>
  </si>
  <si>
    <t>405-E</t>
  </si>
  <si>
    <t>406-E</t>
  </si>
  <si>
    <t>345-E</t>
  </si>
  <si>
    <t>306-E</t>
  </si>
  <si>
    <t>409-P</t>
  </si>
  <si>
    <t>463-E</t>
  </si>
  <si>
    <t>450-E</t>
  </si>
  <si>
    <t>305-E</t>
  </si>
  <si>
    <t>780-E</t>
  </si>
  <si>
    <t>782-E</t>
  </si>
  <si>
    <t>786-E</t>
  </si>
  <si>
    <t>783-E</t>
  </si>
  <si>
    <t>940 BLACK</t>
  </si>
  <si>
    <t>940 GOLD</t>
  </si>
  <si>
    <t>938 BLACK</t>
  </si>
  <si>
    <t>938 GOLD</t>
  </si>
  <si>
    <t>946 BLACK</t>
  </si>
  <si>
    <t>451-E</t>
  </si>
  <si>
    <t>452-E</t>
  </si>
  <si>
    <t>453-E</t>
  </si>
  <si>
    <t>340-E</t>
  </si>
  <si>
    <t>434-E</t>
  </si>
  <si>
    <t>420L</t>
  </si>
  <si>
    <t>421L</t>
  </si>
  <si>
    <t>421LE</t>
  </si>
  <si>
    <t>420LE</t>
  </si>
  <si>
    <t>ARO-D-</t>
  </si>
  <si>
    <t xml:space="preserve">ARO PILETA DOBLE </t>
  </si>
  <si>
    <t>ARO-S-</t>
  </si>
  <si>
    <t xml:space="preserve">ARO PILETA SIMPLE </t>
  </si>
  <si>
    <t>GRAMPAS</t>
  </si>
  <si>
    <t xml:space="preserve">GRAMPAS Y TORNILLOS P/ARO </t>
  </si>
  <si>
    <t xml:space="preserve">DESAGUE AMERICANO </t>
  </si>
  <si>
    <t>9006 C/B</t>
  </si>
  <si>
    <t>DESAGUE AMERICANO CON DESBORDE</t>
  </si>
  <si>
    <t>DESAGUE COCINA LINEA 300</t>
  </si>
  <si>
    <t>DESAGUE ECONOMICO LINEA 100</t>
  </si>
  <si>
    <t xml:space="preserve">CESTILLO DE ACERO INOX </t>
  </si>
  <si>
    <t xml:space="preserve">TAPON </t>
  </si>
  <si>
    <t xml:space="preserve">TAPON DE GOMA P/PILETA </t>
  </si>
  <si>
    <t xml:space="preserve">BASE-P </t>
  </si>
  <si>
    <t xml:space="preserve">BASE PLASTICA DE DESAGUE </t>
  </si>
  <si>
    <t xml:space="preserve">TABLA DE MADERA REDONDA </t>
  </si>
  <si>
    <t xml:space="preserve">TABLA DE MADERA CUADRADA </t>
  </si>
  <si>
    <t xml:space="preserve">TABLA DE MADERA SEMICIRCULAR </t>
  </si>
  <si>
    <t xml:space="preserve">TABLA DE MADERA TRIANGULAR </t>
  </si>
  <si>
    <t>TABLA DE MADERA P/800</t>
  </si>
  <si>
    <t>TABLA DE MADERA P/801</t>
  </si>
  <si>
    <t>TABLA DE MADERA P/780</t>
  </si>
  <si>
    <t>SIFON-D</t>
  </si>
  <si>
    <t xml:space="preserve">SIFON PLASTICO DOBLE </t>
  </si>
  <si>
    <t>SIFON-E</t>
  </si>
  <si>
    <t xml:space="preserve">SIFON PLASTICO ESQUINERO </t>
  </si>
  <si>
    <t>SIFON-T</t>
  </si>
  <si>
    <t>SIFON PLASTICO TRIPLE</t>
  </si>
  <si>
    <t>SIFON-S</t>
  </si>
  <si>
    <t xml:space="preserve">SIFON PLASTICO SIMPLE </t>
  </si>
  <si>
    <t xml:space="preserve">DOSIFICADOR DE LIQUIDOS </t>
  </si>
  <si>
    <t xml:space="preserve">BOX INOX </t>
  </si>
  <si>
    <t xml:space="preserve">BOX DE ACERO INOX </t>
  </si>
  <si>
    <t xml:space="preserve">GRAM/ENC </t>
  </si>
  <si>
    <t xml:space="preserve">JUEGO DE GRAMPAS P/ENC </t>
  </si>
  <si>
    <t xml:space="preserve">BOTELLA </t>
  </si>
  <si>
    <t>BOTELLA PLASTICA P/DOSIFICADOR</t>
  </si>
  <si>
    <t xml:space="preserve">PICO </t>
  </si>
  <si>
    <t xml:space="preserve">PICO CROMADO DE DOSIFICADOR </t>
  </si>
  <si>
    <t>T-SIMPLE</t>
  </si>
  <si>
    <t xml:space="preserve">TORNILLO PLASTICO NEGRO </t>
  </si>
  <si>
    <t xml:space="preserve">REJILLA </t>
  </si>
  <si>
    <t xml:space="preserve">DE ACERO PARA PILETA </t>
  </si>
  <si>
    <t>VIDRIO PARA PILETA 718</t>
  </si>
  <si>
    <t>CESTO ALAMBRE INOX P/780</t>
  </si>
  <si>
    <t>CESTO ALAMBRE INOX P/800E</t>
  </si>
  <si>
    <t>CESTO ALAMBRE INOX P/802E</t>
  </si>
  <si>
    <t>CESTO ALAMBRE INOX P/783E</t>
  </si>
  <si>
    <t>CESTO ALAMBRE INOX P/780E</t>
  </si>
  <si>
    <t>CESTO ALAMBRE INOX P/786E</t>
  </si>
  <si>
    <t>CESTO ALAMBRE INOX P/715E</t>
  </si>
  <si>
    <t>CESTO ALAMBRE INOX P/718E</t>
  </si>
  <si>
    <t>8718B</t>
  </si>
  <si>
    <t xml:space="preserve">CESTO ALAMBRE P/718E BLACK </t>
  </si>
  <si>
    <t>VIDRIO PARA PILETA 715</t>
  </si>
  <si>
    <t>CESTO ALAMBRE INOX P/746</t>
  </si>
  <si>
    <t>1000 BLACK</t>
  </si>
  <si>
    <t>CESTO ALAMBRE INOX P/710</t>
  </si>
  <si>
    <t xml:space="preserve">DESAGUE ECONOMICO </t>
  </si>
  <si>
    <t>CESTO ALAMBRE INOX P/801E</t>
  </si>
  <si>
    <t>VIDRIO PARA PILETA 783</t>
  </si>
  <si>
    <t>BS50 BLACK</t>
  </si>
  <si>
    <t xml:space="preserve">ACC DE ACERO INOX BLACK  </t>
  </si>
  <si>
    <t>BS60 BLACK</t>
  </si>
  <si>
    <t>BS50</t>
  </si>
  <si>
    <t xml:space="preserve">ACC DE ACERO INOX </t>
  </si>
  <si>
    <t>BS60</t>
  </si>
  <si>
    <t>VIDRIO PARA LINEA ESSENTIA</t>
  </si>
  <si>
    <t>DESAGUE CUADRADO C/DES</t>
  </si>
  <si>
    <t xml:space="preserve">CESTO ALAMBRE LINE ESSENTIA </t>
  </si>
  <si>
    <t>8600 BLACK</t>
  </si>
  <si>
    <t>C/ANAFE</t>
  </si>
  <si>
    <t xml:space="preserve">CORTE DE ANAFE </t>
  </si>
  <si>
    <t>FAL-ESCU</t>
  </si>
  <si>
    <t>FALSA ESCUADRA C/U</t>
  </si>
  <si>
    <t>R-LATERAL</t>
  </si>
  <si>
    <t>RESPALDO LATERAL POR UNIDAD</t>
  </si>
  <si>
    <t>T-RESPALDO</t>
  </si>
  <si>
    <t>TAPA DE RESPALDO POR UNIDAD</t>
  </si>
  <si>
    <t>PULIDO 1</t>
  </si>
  <si>
    <t>PULIDO BRILLANTE</t>
  </si>
  <si>
    <t>PULIDO 2</t>
  </si>
  <si>
    <t>PULIDO 3</t>
  </si>
  <si>
    <t>DOSIFICADOR DE LIQUIDOS</t>
  </si>
  <si>
    <t>CODIGO</t>
  </si>
  <si>
    <t>DESCRIPCION</t>
  </si>
  <si>
    <t>VALOR</t>
  </si>
  <si>
    <t>% A AGREGAR</t>
  </si>
  <si>
    <t>TOTAL FINAL</t>
  </si>
  <si>
    <t>REJILLA FLEXIBLE</t>
  </si>
  <si>
    <t>ETNA SIMPLE 710 MED INT 40X40X20 CM</t>
  </si>
  <si>
    <t>ETNA SIMPLE 720 MED INT 50X40X22 CM</t>
  </si>
  <si>
    <t>ETNA SIMPLE 715 MED INT 56X37X22 CM</t>
  </si>
  <si>
    <t>ETNA SIMPLE 718 MED INT 65X35X22 CM</t>
  </si>
  <si>
    <t>ETNA SIMPLE 718 BLACK  MED INT 65X35X22 CM</t>
  </si>
  <si>
    <t>ETNA DOBLE 746 MED INT 70X40X21 CM</t>
  </si>
  <si>
    <t>ESSENTIA SIMPLE 660 MED INT 60X40X20 CM</t>
  </si>
  <si>
    <t>ESSENTIA SIMPLE 660 BLACK MED INT 60X40X20 CM</t>
  </si>
  <si>
    <t>ESSENTIA SIMPLE 640 MED INT 40X40X20 CM</t>
  </si>
  <si>
    <t>ESSENTIA SIMPLE 640 BLACK MED INT 40X40X20 CM</t>
  </si>
  <si>
    <t>ESSENTIA SIMPLE 670 MED INT 70X40X20 CM</t>
  </si>
  <si>
    <t>ESSENTIA SIMPLE 670 BLACK MED INT 70X40X20 CM</t>
  </si>
  <si>
    <t>ESSENTIA DOBLE 671 MED INT 71X40X20 CM</t>
  </si>
  <si>
    <t>ESSENTIA DOBLE 671 BLACK MED INT 71X40X20 CM</t>
  </si>
  <si>
    <t>DESIGNIA SIMPLE 780-E MED INT 70X49X17 CM</t>
  </si>
  <si>
    <t>DESIGNIA SIMPLE 782-E MED INT 34X37X17 CM</t>
  </si>
  <si>
    <t>DESIGNIA DOBLE 786-E MED INT 74X39X17 CM</t>
  </si>
  <si>
    <t>DESIGNIA DOBLE 786 MED INT 71X37X17 CM</t>
  </si>
  <si>
    <t>DESIGNIA SIMPLE 783-E MED INT 60X42X18 CM</t>
  </si>
  <si>
    <t>DESIGNIA SIMPLE 787 MED INT 58X35X17 CM</t>
  </si>
  <si>
    <t>DESIGNIA SIMPLE 788 MED INT 67X40X17 CM</t>
  </si>
  <si>
    <t>VESTA SIMPLE 201 MED INT 27X37X15 CM</t>
  </si>
  <si>
    <t>VESTA SIMPLE 202 DE 34X37X15 CM</t>
  </si>
  <si>
    <t>VESTA SIMPLE 203 DE 52X32X15 CM</t>
  </si>
  <si>
    <t>VESTA SIMPLE 210 DE 60X37X15 CM</t>
  </si>
  <si>
    <t>VESTA SIMPLE 243 DE 44X34X15 CM</t>
  </si>
  <si>
    <t>VESTA SIMPLE 301 DE 27X37X18 CM</t>
  </si>
  <si>
    <t>VESTA SIMPLE 302 DE 34X37X18 CM</t>
  </si>
  <si>
    <t>VESTA SIMPLE 303 DE 52X32X18 CM</t>
  </si>
  <si>
    <t>VESTA SIMPLE 341 DE 27X34X18 CM</t>
  </si>
  <si>
    <t>VESTA SIMPLE 342 DE 37X34X18 CM</t>
  </si>
  <si>
    <t>VESTA SIMPLE 343 DE 44X34X18 CM</t>
  </si>
  <si>
    <t>VESTA PILETI 400 N DE 30X16X13 CM</t>
  </si>
  <si>
    <t>VESTA SIMPLE 410 DE 60X37X20 CM</t>
  </si>
  <si>
    <t>VESTA SIMPLE 410P DE 60X37X24 CM</t>
  </si>
  <si>
    <t>VESTA SIMPLE 300E DE 30X15 CM</t>
  </si>
  <si>
    <t>VESTA SIMPLE 403-E DE 55.5X35.5X20 CM</t>
  </si>
  <si>
    <t>VESTA SIMPLE 410-E DE 67.5X39,5X20 CM</t>
  </si>
  <si>
    <t>VESTA SIMPLE 443-E DE 48X39X18 CM</t>
  </si>
  <si>
    <t>VESTA SIMPLE 460-E DE 37X20 CM REDONDA</t>
  </si>
  <si>
    <t>VESTA SIMPLE 500-E DE 42X43X20 CM</t>
  </si>
  <si>
    <t>VESTA SIMPLE 800-E DE 77X47X20 CM</t>
  </si>
  <si>
    <t>VESTA SIMPLE 801-E DE 54X37X20 CM</t>
  </si>
  <si>
    <t>VESTA SIMPLE 802-E DE 70X44X20 CM</t>
  </si>
  <si>
    <t>VESTA DOBLE 204 DE 57X37X16 CM</t>
  </si>
  <si>
    <t>VESTA DOBLE 205 DE 64X37X16 CM</t>
  </si>
  <si>
    <t>VESTA DOBLE 304 DE 57X37X18 CM</t>
  </si>
  <si>
    <t>VESTA DOBLE 305 DE 64X37X18 CM</t>
  </si>
  <si>
    <t>VESTA DOBLE 306 DE 71X37X18 CM</t>
  </si>
  <si>
    <t>VESTA DOBLE 344 DE 57X34X18 CM</t>
  </si>
  <si>
    <t>VESTA DOBLE 345 DE 67X34X18 CM</t>
  </si>
  <si>
    <t>VESTA DOBLE 405-E DE 70X43X18 CM</t>
  </si>
  <si>
    <t>VESTA DOBLE 406-E DE 78X43X18 CM</t>
  </si>
  <si>
    <t>VESTA DOBLE 345-E DE 73X40X18 CM</t>
  </si>
  <si>
    <t>VESTA DOBLE 306-E DE 74X39X18 CM</t>
  </si>
  <si>
    <t>VESTA DOBLE 408 DE 97X37X20 CM</t>
  </si>
  <si>
    <t>VESTA DOBLE 409-P DE 123X37X24 CM</t>
  </si>
  <si>
    <t>VESTA DOBLE 501 DE 79X37X20 CM</t>
  </si>
  <si>
    <t>VESTA TRIPLE  463-E DE 98X43X18</t>
  </si>
  <si>
    <t>VESTA ESQUINERA 450-E 92X75X18 CM</t>
  </si>
  <si>
    <t xml:space="preserve">VESTA DOBLE 305-E ENC DE 66X39X18 CM   </t>
  </si>
  <si>
    <t>ECONOMICA SIMPLE 101EC MED INT 37X27X15 CM</t>
  </si>
  <si>
    <t>ECONOMICA SIMPLE 102EC MED INT 34X37X15 CM</t>
  </si>
  <si>
    <t>ECONOMICA SIMPLE 103T MED INT 52X32X13 CM</t>
  </si>
  <si>
    <t>ECONOMICA SIMPLE 103EC MED INT 52X32X15 CM</t>
  </si>
  <si>
    <t>ECONOMICA SIMPLE 103P MED INT 52X32X18 CM</t>
  </si>
  <si>
    <t>ECONOMICA SIMPLE 143EC MED INT 44X34X15 CM</t>
  </si>
  <si>
    <t>ECONOMICA DOBLE 104EC DE 57X37X15 CM</t>
  </si>
  <si>
    <t>ECONOMICA DOBLE 104P DE 57X37X18 CM</t>
  </si>
  <si>
    <t>ECONOMICA DOBLE 105EC DE 64X37X15 CM</t>
  </si>
  <si>
    <t>ECONOMICA DOBLE 106EC DE 71X37X15 CM</t>
  </si>
  <si>
    <t>ZINGARA REDONDA 940 BLACK 40X13</t>
  </si>
  <si>
    <t>ZINGARA REDONDA 940 GOLD 40X13</t>
  </si>
  <si>
    <t>ZINGARA SIMPLE 938 BLACK 37.5X37.5X11 CM</t>
  </si>
  <si>
    <t>ZINGARA SIMPLE 938 GOLD 37.5X37.5X11 CM</t>
  </si>
  <si>
    <t>ZINGARA SIMPLE 946 BLACK 46X35X13 CM</t>
  </si>
  <si>
    <t>NOVA 451 OVAL 40X29X15</t>
  </si>
  <si>
    <t>NOVA 454 OVAL 33X24X13</t>
  </si>
  <si>
    <t>NOVA 455 OVAL 38X28X13</t>
  </si>
  <si>
    <t>NOVA 456 OVAL 44X32X13</t>
  </si>
  <si>
    <t>NOVA 457 OVAL RIÑON 33X24X13 CM</t>
  </si>
  <si>
    <t>NOVA 458 OVAL RIÑON 37,6X26X13 CM</t>
  </si>
  <si>
    <t>NOVA 451-E OVAL 40X29X15 CM ENC</t>
  </si>
  <si>
    <t>NOVA 452-E REDONDA 30X15 CM ENC</t>
  </si>
  <si>
    <t>NOVA 453-E REDONDA 34X15 CM ENC</t>
  </si>
  <si>
    <t>NOVA 340-E OVAL 44X33X18 CM ENC</t>
  </si>
  <si>
    <t>NOVA 434-E REDONDA 38,5X14 CM ENC</t>
  </si>
  <si>
    <t>LAVADERO 420L 60X37X24 CM</t>
  </si>
  <si>
    <t>LAVADERO 421L 46X37X24 CM</t>
  </si>
  <si>
    <t>LAVADERO 421LE 48X39X24 CM ENC</t>
  </si>
  <si>
    <t>LAVADERO 420LE 67X39,5X24 CM ENC</t>
  </si>
  <si>
    <t>TOTAL ANT</t>
  </si>
  <si>
    <t>VESTA ESQUINERA 350 83X62X18 CM</t>
  </si>
  <si>
    <t>VESTA ESQUINERA 650 92,8X70X20 CM</t>
  </si>
  <si>
    <r>
      <t>Largo</t>
    </r>
    <r>
      <rPr>
        <sz val="10"/>
        <color theme="1"/>
        <rFont val="Microsoft JhengHei"/>
        <family val="2"/>
      </rPr>
      <t xml:space="preserve"> | </t>
    </r>
    <r>
      <rPr>
        <b/>
        <sz val="10"/>
        <color theme="1"/>
        <rFont val="Microsoft JhengHei"/>
        <family val="2"/>
      </rPr>
      <t>40×40</t>
    </r>
    <r>
      <rPr>
        <sz val="10"/>
        <color theme="1"/>
        <rFont val="Microsoft JhengHei"/>
        <family val="2"/>
      </rPr>
      <t xml:space="preserve"> | </t>
    </r>
    <r>
      <rPr>
        <b/>
        <sz val="10"/>
        <color theme="1"/>
        <rFont val="Microsoft JhengHei"/>
        <family val="2"/>
      </rPr>
      <t>50×40</t>
    </r>
    <r>
      <rPr>
        <sz val="10"/>
        <color theme="1"/>
        <rFont val="Microsoft JhengHei"/>
        <family val="2"/>
      </rPr>
      <t xml:space="preserve"> | </t>
    </r>
    <r>
      <rPr>
        <b/>
        <sz val="10"/>
        <color theme="1"/>
        <rFont val="Microsoft JhengHei"/>
        <family val="2"/>
      </rPr>
      <t>60×40</t>
    </r>
  </si>
  <si>
    <r>
      <t>Largo</t>
    </r>
    <r>
      <rPr>
        <sz val="10"/>
        <color theme="1"/>
        <rFont val="Microsoft JhengHei"/>
        <family val="2"/>
      </rPr>
      <t xml:space="preserve"> | </t>
    </r>
    <r>
      <rPr>
        <b/>
        <sz val="10"/>
        <color theme="1"/>
        <rFont val="Microsoft JhengHei"/>
        <family val="2"/>
      </rPr>
      <t>70×40</t>
    </r>
    <r>
      <rPr>
        <sz val="10"/>
        <color theme="1"/>
        <rFont val="Microsoft JhengHei"/>
        <family val="2"/>
      </rPr>
      <t xml:space="preserve"> | </t>
    </r>
    <r>
      <rPr>
        <b/>
        <sz val="10"/>
        <color theme="1"/>
        <rFont val="Microsoft JhengHei"/>
        <family val="2"/>
      </rPr>
      <t>80×50</t>
    </r>
    <r>
      <rPr>
        <sz val="10"/>
        <color theme="1"/>
        <rFont val="Microsoft JhengHei"/>
        <family val="2"/>
      </rPr>
      <t xml:space="preserve"> | </t>
    </r>
    <r>
      <rPr>
        <b/>
        <sz val="10"/>
        <color theme="1"/>
        <rFont val="Microsoft JhengHei"/>
        <family val="2"/>
      </rPr>
      <t>100×50</t>
    </r>
  </si>
  <si>
    <t>25 |</t>
  </si>
  <si>
    <t>30 |</t>
  </si>
  <si>
    <t>35 |</t>
  </si>
  <si>
    <t>40 |</t>
  </si>
  <si>
    <t>50 |</t>
  </si>
  <si>
    <t>Lista de precios 11501</t>
  </si>
  <si>
    <t xml:space="preserve">CESTO ALAMBRE INOX REDONDO </t>
  </si>
  <si>
    <t xml:space="preserve">CESTO ALAMBRE INOX CUADRADO  </t>
  </si>
  <si>
    <t xml:space="preserve">CESTO ALAMBRE INOX P/PILETIN </t>
  </si>
  <si>
    <t>Vigente a partir del 26/01/2026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</si>
</sst>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\ #,##0;[Red]\-&quot;$&quot;\ #,##0"/>
    <numFmt numFmtId="44" formatCode="_-&quot;$&quot;\ * #,##0.00_-;\-&quot;$&quot;\ * #,##0.00_-;_-&quot;$&quot;\ * &quot;-&quot;??_-;_-@_-"/>
    <numFmt numFmtId="43" formatCode="_-* #,##0.00_-;\-* #,##0.00_-;_-* &quot;-&quot;??_-;_-@_-"/>
  </numFmts>
  <fonts count="9" x14ac:knownFonts="1">
    <font>
      <sz val="10"/>
      <color theme="1"/>
      <name val="Microsoft JhengHei"/>
      <family val="2"/>
    </font>
    <font>
      <sz val="10"/>
      <color theme="1"/>
      <name val="Microsoft JhengHei"/>
      <family val="2"/>
    </font>
    <font>
      <b/>
      <sz val="10"/>
      <color theme="1"/>
      <name val="Microsoft JhengHei"/>
      <family val="2"/>
    </font>
    <font>
      <sz val="11"/>
      <color indexed="8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0"/>
      <color rgb="FFFF0000"/>
      <name val="Microsoft JhengHei"/>
      <family val="2"/>
    </font>
    <font>
      <sz val="11"/>
      <name val="Calibri"/>
      <family val="2"/>
    </font>
    <font>
      <sz val="10"/>
      <name val="Microsoft JhengHe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1">
    <xf numFmtId="0" fontId="0" fillId="0" borderId="0" xfId="0"/>
    <xf numFmtId="44" fontId="3" fillId="0" borderId="0" xfId="2" applyFont="1" applyFill="1" applyBorder="1" applyAlignment="1" applyProtection="1"/>
    <xf numFmtId="0" fontId="3" fillId="0" borderId="0" xfId="0" applyFont="1"/>
    <xf numFmtId="0" fontId="2" fillId="0" borderId="0" xfId="0" applyFont="1"/>
    <xf numFmtId="0" fontId="3" fillId="0" borderId="2" xfId="0" applyFont="1" applyBorder="1" applyAlignment="1">
      <alignment horizontal="right"/>
    </xf>
    <xf numFmtId="0" fontId="0" fillId="0" borderId="0" xfId="0" applyAlignment="1">
      <alignment horizontal="center"/>
    </xf>
    <xf numFmtId="43" fontId="0" fillId="0" borderId="3" xfId="1" applyFont="1" applyFill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3" fillId="0" borderId="5" xfId="0" applyFont="1" applyBorder="1"/>
    <xf numFmtId="44" fontId="3" fillId="0" borderId="5" xfId="2" applyFont="1" applyFill="1" applyBorder="1" applyAlignment="1" applyProtection="1"/>
    <xf numFmtId="0" fontId="0" fillId="0" borderId="5" xfId="0" applyBorder="1" applyAlignment="1">
      <alignment horizontal="center"/>
    </xf>
    <xf numFmtId="43" fontId="0" fillId="0" borderId="6" xfId="1" applyFont="1" applyFill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0" fillId="2" borderId="0" xfId="0" applyFill="1"/>
    <xf numFmtId="6" fontId="0" fillId="0" borderId="0" xfId="0" applyNumberFormat="1"/>
    <xf numFmtId="0" fontId="0" fillId="0" borderId="0" xfId="0" applyAlignment="1">
      <alignment horizontal="left"/>
    </xf>
    <xf numFmtId="0" fontId="3" fillId="0" borderId="8" xfId="0" applyFont="1" applyBorder="1" applyAlignment="1">
      <alignment horizontal="right"/>
    </xf>
    <xf numFmtId="0" fontId="3" fillId="0" borderId="9" xfId="0" applyFont="1" applyBorder="1"/>
    <xf numFmtId="44" fontId="3" fillId="0" borderId="9" xfId="2" applyFont="1" applyFill="1" applyBorder="1" applyAlignment="1" applyProtection="1"/>
    <xf numFmtId="0" fontId="0" fillId="0" borderId="9" xfId="0" applyBorder="1" applyAlignment="1">
      <alignment horizontal="center"/>
    </xf>
    <xf numFmtId="43" fontId="0" fillId="0" borderId="10" xfId="1" applyFont="1" applyFill="1" applyBorder="1" applyAlignment="1">
      <alignment horizontal="center"/>
    </xf>
    <xf numFmtId="0" fontId="0" fillId="0" borderId="7" xfId="0" applyBorder="1"/>
    <xf numFmtId="0" fontId="6" fillId="0" borderId="0" xfId="0" applyFont="1"/>
    <xf numFmtId="0" fontId="7" fillId="0" borderId="11" xfId="0" applyFont="1" applyBorder="1" applyAlignment="1">
      <alignment horizontal="right"/>
    </xf>
    <xf numFmtId="0" fontId="7" fillId="0" borderId="11" xfId="0" applyFont="1" applyBorder="1"/>
    <xf numFmtId="44" fontId="7" fillId="0" borderId="11" xfId="2" applyFont="1" applyFill="1" applyBorder="1" applyAlignment="1" applyProtection="1"/>
    <xf numFmtId="0" fontId="0" fillId="0" borderId="11" xfId="0" applyBorder="1" applyAlignment="1">
      <alignment horizontal="center"/>
    </xf>
    <xf numFmtId="43" fontId="8" fillId="0" borderId="11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5">
    <cellStyle name="Millares" xfId="1" builtinId="3"/>
    <cellStyle name="Millares 2" xfId="3" xr:uid="{00000000-0005-0000-0000-000001000000}"/>
    <cellStyle name="Moneda" xfId="2" builtinId="4"/>
    <cellStyle name="Moneda 2" xfId="4" xr:uid="{00000000-0005-0000-0000-000003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139701</xdr:rowOff>
    </xdr:from>
    <xdr:to>
      <xdr:col>6</xdr:col>
      <xdr:colOff>138335</xdr:colOff>
      <xdr:row>11</xdr:row>
      <xdr:rowOff>47626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894D166-6B6E-9DCA-A70F-07D9E5A7A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55601"/>
          <a:ext cx="5403755" cy="1943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127000</xdr:rowOff>
    </xdr:from>
    <xdr:to>
      <xdr:col>5</xdr:col>
      <xdr:colOff>780955</xdr:colOff>
      <xdr:row>12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A78E18-82A7-E54D-AA1F-B0AD0698C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58800"/>
          <a:ext cx="5403755" cy="1943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114300</xdr:rowOff>
    </xdr:from>
    <xdr:to>
      <xdr:col>5</xdr:col>
      <xdr:colOff>239935</xdr:colOff>
      <xdr:row>12</xdr:row>
      <xdr:rowOff>25400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36C2B0-D4D9-564E-86EB-041B22963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6100"/>
          <a:ext cx="5403755" cy="19431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25400</xdr:rowOff>
    </xdr:from>
    <xdr:to>
      <xdr:col>5</xdr:col>
      <xdr:colOff>768255</xdr:colOff>
      <xdr:row>11</xdr:row>
      <xdr:rowOff>139700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29C406-F021-1B42-BB98-5B254FB63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57200"/>
          <a:ext cx="5403755" cy="19431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</xdr:row>
      <xdr:rowOff>76200</xdr:rowOff>
    </xdr:from>
    <xdr:to>
      <xdr:col>1</xdr:col>
      <xdr:colOff>2166859</xdr:colOff>
      <xdr:row>7</xdr:row>
      <xdr:rowOff>99060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1C9655-939D-8F48-B084-E79EBCF99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472440"/>
          <a:ext cx="2898378" cy="89916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88900</xdr:rowOff>
    </xdr:from>
    <xdr:to>
      <xdr:col>5</xdr:col>
      <xdr:colOff>90075</xdr:colOff>
      <xdr:row>12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9500F5-F645-B94F-AC7F-381D9195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20700"/>
          <a:ext cx="5403755" cy="19431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88900</xdr:rowOff>
    </xdr:from>
    <xdr:to>
      <xdr:col>5</xdr:col>
      <xdr:colOff>377095</xdr:colOff>
      <xdr:row>12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493100-DBFE-1B42-824A-6D3863A25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20700"/>
          <a:ext cx="5403755" cy="19431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88900</xdr:rowOff>
    </xdr:from>
    <xdr:to>
      <xdr:col>7</xdr:col>
      <xdr:colOff>255175</xdr:colOff>
      <xdr:row>12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23F3C0-3064-AA44-A86F-8936B0AFE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20700"/>
          <a:ext cx="5403755" cy="19431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127000</xdr:rowOff>
    </xdr:from>
    <xdr:to>
      <xdr:col>6</xdr:col>
      <xdr:colOff>298355</xdr:colOff>
      <xdr:row>12</xdr:row>
      <xdr:rowOff>38100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EE08607-FD5A-3A42-8B5D-43E4A70DE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58800"/>
          <a:ext cx="5403755" cy="19431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127000</xdr:rowOff>
    </xdr:from>
    <xdr:to>
      <xdr:col>7</xdr:col>
      <xdr:colOff>148495</xdr:colOff>
      <xdr:row>12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D619E4-0398-3741-A21C-2CEEE462C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58800"/>
          <a:ext cx="5403755" cy="19431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101600</xdr:rowOff>
    </xdr:from>
    <xdr:to>
      <xdr:col>6</xdr:col>
      <xdr:colOff>570135</xdr:colOff>
      <xdr:row>12</xdr:row>
      <xdr:rowOff>12700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D549078-B80B-4A44-A9D5-90A821096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33400"/>
          <a:ext cx="5403755" cy="19431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workbookViewId="0">
      <selection activeCell="F22" sqref="F22"/>
    </sheetView>
  </sheetViews>
  <sheetFormatPr baseColWidth="10" defaultRowHeight="13.8" x14ac:dyDescent="0.3"/>
  <cols>
    <col min="1" max="1" width="9.09765625" bestFit="1" customWidth="1"/>
    <col min="2" max="2" width="32.8984375" bestFit="1" customWidth="1"/>
    <col min="3" max="3" width="11.3984375" hidden="1" customWidth="1"/>
    <col min="4" max="4" width="11.59765625" hidden="1" customWidth="1"/>
    <col min="5" max="5" width="15.8984375" customWidth="1"/>
  </cols>
  <sheetData>
    <row r="1" spans="1:5" ht="15.6" x14ac:dyDescent="0.3">
      <c r="A1" s="29" t="s">
        <v>243</v>
      </c>
      <c r="B1" s="29"/>
      <c r="C1" s="29"/>
      <c r="D1" s="29"/>
      <c r="E1" s="29"/>
    </row>
    <row r="2" spans="1:5" ht="15.6" x14ac:dyDescent="0.3">
      <c r="A2" s="30" t="s">
        <v>247</v>
      </c>
      <c r="B2" s="30"/>
      <c r="C2" s="30"/>
      <c r="D2" s="30"/>
      <c r="E2" s="30"/>
    </row>
    <row r="13" spans="1:5" ht="14.4" thickBot="1" x14ac:dyDescent="0.35"/>
    <row r="14" spans="1:5" ht="14.4" thickBot="1" x14ac:dyDescent="0.35">
      <c r="A14" s="12" t="s">
        <v>136</v>
      </c>
      <c r="B14" s="12" t="s">
        <v>137</v>
      </c>
      <c r="C14" s="12" t="s">
        <v>138</v>
      </c>
      <c r="D14" s="12" t="s">
        <v>139</v>
      </c>
      <c r="E14" s="12" t="s">
        <v>140</v>
      </c>
    </row>
    <row r="15" spans="1:5" ht="14.4" x14ac:dyDescent="0.3">
      <c r="A15" s="17">
        <v>710</v>
      </c>
      <c r="B15" s="18" t="s">
        <v>142</v>
      </c>
      <c r="C15" s="19">
        <v>236000</v>
      </c>
      <c r="D15" s="20">
        <v>35</v>
      </c>
      <c r="E15" s="21">
        <f t="shared" ref="E15:E20" si="0">(((C15*(D15)))/100)+C15</f>
        <v>318600</v>
      </c>
    </row>
    <row r="16" spans="1:5" ht="14.4" x14ac:dyDescent="0.3">
      <c r="A16" s="4">
        <v>720</v>
      </c>
      <c r="B16" s="2" t="s">
        <v>143</v>
      </c>
      <c r="C16" s="1">
        <v>237783</v>
      </c>
      <c r="D16" s="5">
        <v>35</v>
      </c>
      <c r="E16" s="6">
        <f t="shared" si="0"/>
        <v>321007.05</v>
      </c>
    </row>
    <row r="17" spans="1:5" ht="14.4" x14ac:dyDescent="0.3">
      <c r="A17" s="4">
        <v>715</v>
      </c>
      <c r="B17" s="2" t="s">
        <v>144</v>
      </c>
      <c r="C17" s="1">
        <v>313748</v>
      </c>
      <c r="D17" s="5">
        <v>35</v>
      </c>
      <c r="E17" s="6">
        <f t="shared" si="0"/>
        <v>423559.8</v>
      </c>
    </row>
    <row r="18" spans="1:5" ht="14.4" x14ac:dyDescent="0.3">
      <c r="A18" s="4">
        <v>718</v>
      </c>
      <c r="B18" s="2" t="s">
        <v>145</v>
      </c>
      <c r="C18" s="1">
        <v>350951</v>
      </c>
      <c r="D18" s="5">
        <v>35</v>
      </c>
      <c r="E18" s="6">
        <f t="shared" si="0"/>
        <v>473783.85</v>
      </c>
    </row>
    <row r="19" spans="1:5" ht="14.4" x14ac:dyDescent="0.3">
      <c r="A19" s="4" t="s">
        <v>0</v>
      </c>
      <c r="B19" s="2" t="s">
        <v>146</v>
      </c>
      <c r="C19" s="1">
        <v>494884</v>
      </c>
      <c r="D19" s="5">
        <v>35</v>
      </c>
      <c r="E19" s="6">
        <f t="shared" si="0"/>
        <v>668093.4</v>
      </c>
    </row>
    <row r="20" spans="1:5" ht="15" thickBot="1" x14ac:dyDescent="0.35">
      <c r="A20" s="7">
        <v>746</v>
      </c>
      <c r="B20" s="8" t="s">
        <v>147</v>
      </c>
      <c r="C20" s="9">
        <v>498500</v>
      </c>
      <c r="D20" s="10">
        <v>35</v>
      </c>
      <c r="E20" s="11">
        <f t="shared" si="0"/>
        <v>672975</v>
      </c>
    </row>
  </sheetData>
  <autoFilter ref="A14:E20" xr:uid="{00000000-0009-0000-0000-000000000000}"/>
  <mergeCells count="2">
    <mergeCell ref="A1:E1"/>
    <mergeCell ref="A2:E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workbookViewId="0">
      <selection activeCell="F24" sqref="F24"/>
    </sheetView>
  </sheetViews>
  <sheetFormatPr baseColWidth="10" defaultRowHeight="13.8" x14ac:dyDescent="0.3"/>
  <cols>
    <col min="1" max="1" width="8.59765625" bestFit="1" customWidth="1"/>
    <col min="2" max="2" width="40.09765625" bestFit="1" customWidth="1"/>
    <col min="3" max="3" width="11.3984375" hidden="1" customWidth="1"/>
    <col min="4" max="4" width="11.59765625" hidden="1" customWidth="1"/>
    <col min="5" max="5" width="11.8984375" customWidth="1"/>
  </cols>
  <sheetData>
    <row r="1" spans="1:5" ht="15.6" x14ac:dyDescent="0.3">
      <c r="A1" s="29" t="s">
        <v>243</v>
      </c>
      <c r="B1" s="29"/>
      <c r="C1" s="29"/>
      <c r="D1" s="29"/>
      <c r="E1" s="29"/>
    </row>
    <row r="2" spans="1:5" ht="15.6" x14ac:dyDescent="0.3">
      <c r="A2" s="30" t="s">
        <v>247</v>
      </c>
      <c r="B2" s="30"/>
      <c r="C2" s="30"/>
      <c r="D2" s="30"/>
      <c r="E2" s="30"/>
    </row>
    <row r="13" spans="1:5" ht="14.4" thickBot="1" x14ac:dyDescent="0.35"/>
    <row r="14" spans="1:5" s="3" customFormat="1" ht="14.4" thickBot="1" x14ac:dyDescent="0.35">
      <c r="A14" s="12" t="s">
        <v>136</v>
      </c>
      <c r="B14" s="12" t="s">
        <v>137</v>
      </c>
      <c r="C14" s="12" t="s">
        <v>138</v>
      </c>
      <c r="D14" s="12" t="s">
        <v>139</v>
      </c>
      <c r="E14" s="12" t="s">
        <v>140</v>
      </c>
    </row>
    <row r="15" spans="1:5" ht="15" thickBot="1" x14ac:dyDescent="0.35">
      <c r="A15" s="17">
        <v>660</v>
      </c>
      <c r="B15" s="18" t="s">
        <v>148</v>
      </c>
      <c r="C15" s="19">
        <v>178875</v>
      </c>
      <c r="D15" s="20">
        <v>35</v>
      </c>
      <c r="E15" s="21">
        <f t="shared" ref="E15:E22" si="0">(((C15*(D15)))/100)+C15</f>
        <v>241481.25</v>
      </c>
    </row>
    <row r="16" spans="1:5" ht="15" thickBot="1" x14ac:dyDescent="0.35">
      <c r="A16" s="4" t="s">
        <v>1</v>
      </c>
      <c r="B16" s="2" t="s">
        <v>149</v>
      </c>
      <c r="C16" s="1">
        <v>239402</v>
      </c>
      <c r="D16" s="20">
        <v>35</v>
      </c>
      <c r="E16" s="6">
        <f t="shared" si="0"/>
        <v>323192.7</v>
      </c>
    </row>
    <row r="17" spans="1:5" ht="15" thickBot="1" x14ac:dyDescent="0.35">
      <c r="A17" s="4">
        <v>640</v>
      </c>
      <c r="B17" s="2" t="s">
        <v>150</v>
      </c>
      <c r="C17" s="1">
        <v>156007</v>
      </c>
      <c r="D17" s="20">
        <v>35</v>
      </c>
      <c r="E17" s="6">
        <f t="shared" si="0"/>
        <v>210609.45</v>
      </c>
    </row>
    <row r="18" spans="1:5" ht="15" thickBot="1" x14ac:dyDescent="0.35">
      <c r="A18" s="4" t="s">
        <v>2</v>
      </c>
      <c r="B18" s="2" t="s">
        <v>151</v>
      </c>
      <c r="C18" s="1">
        <v>209730</v>
      </c>
      <c r="D18" s="20">
        <v>35</v>
      </c>
      <c r="E18" s="6">
        <f t="shared" si="0"/>
        <v>283135.5</v>
      </c>
    </row>
    <row r="19" spans="1:5" ht="15" thickBot="1" x14ac:dyDescent="0.35">
      <c r="A19" s="4">
        <v>670</v>
      </c>
      <c r="B19" s="2" t="s">
        <v>152</v>
      </c>
      <c r="C19" s="1">
        <v>242815</v>
      </c>
      <c r="D19" s="20">
        <v>35</v>
      </c>
      <c r="E19" s="6">
        <f t="shared" si="0"/>
        <v>327800.25</v>
      </c>
    </row>
    <row r="20" spans="1:5" ht="15" thickBot="1" x14ac:dyDescent="0.35">
      <c r="A20" s="4" t="s">
        <v>3</v>
      </c>
      <c r="B20" s="2" t="s">
        <v>153</v>
      </c>
      <c r="C20" s="1">
        <v>338318</v>
      </c>
      <c r="D20" s="20">
        <v>35</v>
      </c>
      <c r="E20" s="6">
        <f t="shared" si="0"/>
        <v>456729.3</v>
      </c>
    </row>
    <row r="21" spans="1:5" ht="15" thickBot="1" x14ac:dyDescent="0.35">
      <c r="A21" s="4">
        <v>671</v>
      </c>
      <c r="B21" s="2" t="s">
        <v>154</v>
      </c>
      <c r="C21" s="1">
        <v>270378</v>
      </c>
      <c r="D21" s="20">
        <v>35</v>
      </c>
      <c r="E21" s="6">
        <f t="shared" si="0"/>
        <v>365010.3</v>
      </c>
    </row>
    <row r="22" spans="1:5" ht="15" thickBot="1" x14ac:dyDescent="0.35">
      <c r="A22" s="7" t="s">
        <v>4</v>
      </c>
      <c r="B22" s="8" t="s">
        <v>155</v>
      </c>
      <c r="C22" s="9">
        <v>358462</v>
      </c>
      <c r="D22" s="20">
        <v>35</v>
      </c>
      <c r="E22" s="11">
        <f t="shared" si="0"/>
        <v>483923.7</v>
      </c>
    </row>
  </sheetData>
  <autoFilter ref="A14:E22" xr:uid="{00000000-0009-0000-0000-000001000000}"/>
  <mergeCells count="2">
    <mergeCell ref="A1:E1"/>
    <mergeCell ref="A2:E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tabSelected="1" workbookViewId="0">
      <selection activeCell="E19" sqref="E19"/>
    </sheetView>
  </sheetViews>
  <sheetFormatPr baseColWidth="10" defaultRowHeight="13.8" x14ac:dyDescent="0.3"/>
  <cols>
    <col min="1" max="1" width="7.59765625" bestFit="1" customWidth="1"/>
    <col min="2" max="2" width="40.59765625" bestFit="1" customWidth="1"/>
    <col min="3" max="4" width="11.3984375" hidden="1" customWidth="1"/>
    <col min="5" max="5" width="19.5" customWidth="1"/>
  </cols>
  <sheetData>
    <row r="1" spans="1:5" ht="15.6" x14ac:dyDescent="0.3">
      <c r="A1" s="29" t="s">
        <v>243</v>
      </c>
      <c r="B1" s="29"/>
      <c r="C1" s="29"/>
      <c r="D1" s="29"/>
      <c r="E1" s="29"/>
    </row>
    <row r="2" spans="1:5" ht="15.6" x14ac:dyDescent="0.3">
      <c r="A2" s="30" t="s">
        <v>247</v>
      </c>
      <c r="B2" s="30"/>
      <c r="C2" s="30"/>
      <c r="D2" s="30"/>
      <c r="E2" s="30"/>
    </row>
    <row r="13" spans="1:5" ht="14.4" thickBot="1" x14ac:dyDescent="0.35"/>
    <row r="14" spans="1:5" ht="14.4" thickBot="1" x14ac:dyDescent="0.35">
      <c r="A14" s="13" t="s">
        <v>136</v>
      </c>
      <c r="B14" s="13" t="s">
        <v>137</v>
      </c>
      <c r="C14" s="13" t="s">
        <v>138</v>
      </c>
      <c r="D14" s="13" t="s">
        <v>139</v>
      </c>
      <c r="E14" s="13" t="s">
        <v>233</v>
      </c>
    </row>
    <row r="15" spans="1:5" ht="15" thickBot="1" x14ac:dyDescent="0.35">
      <c r="A15" s="17" t="s">
        <v>33</v>
      </c>
      <c r="B15" s="18" t="s">
        <v>156</v>
      </c>
      <c r="C15" s="19">
        <v>146368</v>
      </c>
      <c r="D15" s="20">
        <v>35</v>
      </c>
      <c r="E15" s="21">
        <f t="shared" ref="E15:E21" si="0">(((C15*(D15)))/100)+C15</f>
        <v>197596.79999999999</v>
      </c>
    </row>
    <row r="16" spans="1:5" ht="15" thickBot="1" x14ac:dyDescent="0.35">
      <c r="A16" s="4" t="s">
        <v>34</v>
      </c>
      <c r="B16" s="2" t="s">
        <v>157</v>
      </c>
      <c r="C16" s="1">
        <v>63569</v>
      </c>
      <c r="D16" s="20">
        <v>35</v>
      </c>
      <c r="E16" s="6">
        <f t="shared" si="0"/>
        <v>85818.15</v>
      </c>
    </row>
    <row r="17" spans="1:5" ht="15" thickBot="1" x14ac:dyDescent="0.35">
      <c r="A17" s="4" t="s">
        <v>35</v>
      </c>
      <c r="B17" s="2" t="s">
        <v>158</v>
      </c>
      <c r="C17" s="1">
        <v>149415</v>
      </c>
      <c r="D17" s="20">
        <v>35</v>
      </c>
      <c r="E17" s="6">
        <f t="shared" si="0"/>
        <v>201710.25</v>
      </c>
    </row>
    <row r="18" spans="1:5" ht="15" thickBot="1" x14ac:dyDescent="0.35">
      <c r="A18" s="4">
        <v>786</v>
      </c>
      <c r="B18" s="2" t="s">
        <v>159</v>
      </c>
      <c r="C18" s="1">
        <v>118759</v>
      </c>
      <c r="D18" s="20">
        <v>35</v>
      </c>
      <c r="E18" s="6">
        <f t="shared" si="0"/>
        <v>160324.65</v>
      </c>
    </row>
    <row r="19" spans="1:5" ht="15" thickBot="1" x14ac:dyDescent="0.35">
      <c r="A19" s="4" t="s">
        <v>36</v>
      </c>
      <c r="B19" s="2" t="s">
        <v>160</v>
      </c>
      <c r="C19" s="1">
        <v>141473</v>
      </c>
      <c r="D19" s="20">
        <v>35</v>
      </c>
      <c r="E19" s="6">
        <f t="shared" si="0"/>
        <v>190988.55</v>
      </c>
    </row>
    <row r="20" spans="1:5" ht="15" thickBot="1" x14ac:dyDescent="0.35">
      <c r="A20" s="4">
        <v>787</v>
      </c>
      <c r="B20" s="2" t="s">
        <v>161</v>
      </c>
      <c r="C20" s="1">
        <v>109849</v>
      </c>
      <c r="D20" s="20">
        <v>35</v>
      </c>
      <c r="E20" s="6">
        <f t="shared" si="0"/>
        <v>148296.15</v>
      </c>
    </row>
    <row r="21" spans="1:5" ht="15" thickBot="1" x14ac:dyDescent="0.35">
      <c r="A21" s="7">
        <v>788</v>
      </c>
      <c r="B21" s="8" t="s">
        <v>162</v>
      </c>
      <c r="C21" s="9">
        <v>138671</v>
      </c>
      <c r="D21" s="20">
        <v>35</v>
      </c>
      <c r="E21" s="11">
        <f t="shared" si="0"/>
        <v>187205.85</v>
      </c>
    </row>
  </sheetData>
  <autoFilter ref="A14:E21" xr:uid="{00000000-0009-0000-0000-000002000000}"/>
  <mergeCells count="2">
    <mergeCell ref="A1:E1"/>
    <mergeCell ref="A2:E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6"/>
  <sheetViews>
    <sheetView topLeftCell="A9" workbookViewId="0">
      <selection activeCell="G25" sqref="G25"/>
    </sheetView>
  </sheetViews>
  <sheetFormatPr baseColWidth="10" defaultColWidth="11" defaultRowHeight="13.8" x14ac:dyDescent="0.3"/>
  <cols>
    <col min="1" max="1" width="7.59765625" bestFit="1" customWidth="1"/>
    <col min="2" max="2" width="38.09765625" bestFit="1" customWidth="1"/>
    <col min="3" max="3" width="11.3984375" hidden="1" customWidth="1"/>
    <col min="4" max="4" width="13.59765625" hidden="1" customWidth="1"/>
    <col min="5" max="5" width="15" customWidth="1"/>
  </cols>
  <sheetData>
    <row r="1" spans="1:5" ht="15.6" x14ac:dyDescent="0.3">
      <c r="A1" s="29" t="s">
        <v>243</v>
      </c>
      <c r="B1" s="29"/>
      <c r="C1" s="29"/>
      <c r="D1" s="29"/>
      <c r="E1" s="29"/>
    </row>
    <row r="2" spans="1:5" ht="15.6" x14ac:dyDescent="0.3">
      <c r="A2" s="30" t="s">
        <v>247</v>
      </c>
      <c r="B2" s="30"/>
      <c r="C2" s="30"/>
      <c r="D2" s="30"/>
      <c r="E2" s="30"/>
    </row>
    <row r="13" spans="1:5" ht="14.4" thickBot="1" x14ac:dyDescent="0.35"/>
    <row r="14" spans="1:5" x14ac:dyDescent="0.3">
      <c r="A14" s="22" t="s">
        <v>136</v>
      </c>
      <c r="B14" s="22" t="s">
        <v>137</v>
      </c>
      <c r="C14" s="22" t="s">
        <v>138</v>
      </c>
      <c r="D14" s="22" t="s">
        <v>139</v>
      </c>
      <c r="E14" s="22" t="s">
        <v>140</v>
      </c>
    </row>
    <row r="15" spans="1:5" ht="14.4" x14ac:dyDescent="0.3">
      <c r="A15" s="24">
        <v>201</v>
      </c>
      <c r="B15" s="25" t="s">
        <v>163</v>
      </c>
      <c r="C15" s="26">
        <v>34915</v>
      </c>
      <c r="D15" s="27">
        <v>35</v>
      </c>
      <c r="E15" s="28">
        <f t="shared" ref="E15:E56" si="0">(((C15*(D15)))/100)+C15</f>
        <v>47135.25</v>
      </c>
    </row>
    <row r="16" spans="1:5" ht="14.4" x14ac:dyDescent="0.3">
      <c r="A16" s="24">
        <v>202</v>
      </c>
      <c r="B16" s="25" t="s">
        <v>164</v>
      </c>
      <c r="C16" s="26">
        <v>38806</v>
      </c>
      <c r="D16" s="27">
        <v>35</v>
      </c>
      <c r="E16" s="28">
        <f t="shared" si="0"/>
        <v>52388.1</v>
      </c>
    </row>
    <row r="17" spans="1:5" ht="14.4" x14ac:dyDescent="0.3">
      <c r="A17" s="24">
        <v>203</v>
      </c>
      <c r="B17" s="25" t="s">
        <v>165</v>
      </c>
      <c r="C17" s="26">
        <v>42597</v>
      </c>
      <c r="D17" s="27">
        <v>35</v>
      </c>
      <c r="E17" s="28">
        <f t="shared" si="0"/>
        <v>57505.95</v>
      </c>
    </row>
    <row r="18" spans="1:5" ht="14.4" x14ac:dyDescent="0.3">
      <c r="A18" s="24">
        <v>210</v>
      </c>
      <c r="B18" s="25" t="s">
        <v>166</v>
      </c>
      <c r="C18" s="26">
        <v>66538</v>
      </c>
      <c r="D18" s="27">
        <v>35</v>
      </c>
      <c r="E18" s="28">
        <f t="shared" si="0"/>
        <v>89826.3</v>
      </c>
    </row>
    <row r="19" spans="1:5" ht="14.4" x14ac:dyDescent="0.3">
      <c r="A19" s="24">
        <v>243</v>
      </c>
      <c r="B19" s="25" t="s">
        <v>167</v>
      </c>
      <c r="C19" s="26">
        <v>42597</v>
      </c>
      <c r="D19" s="27">
        <v>35</v>
      </c>
      <c r="E19" s="28">
        <f t="shared" si="0"/>
        <v>57505.95</v>
      </c>
    </row>
    <row r="20" spans="1:5" ht="14.4" x14ac:dyDescent="0.3">
      <c r="A20" s="24">
        <v>301</v>
      </c>
      <c r="B20" s="25" t="s">
        <v>168</v>
      </c>
      <c r="C20" s="26">
        <v>41499</v>
      </c>
      <c r="D20" s="27">
        <v>35</v>
      </c>
      <c r="E20" s="28">
        <f t="shared" si="0"/>
        <v>56023.65</v>
      </c>
    </row>
    <row r="21" spans="1:5" ht="14.4" x14ac:dyDescent="0.3">
      <c r="A21" s="24">
        <v>302</v>
      </c>
      <c r="B21" s="25" t="s">
        <v>169</v>
      </c>
      <c r="C21" s="26">
        <v>46986</v>
      </c>
      <c r="D21" s="27">
        <v>35</v>
      </c>
      <c r="E21" s="28">
        <f t="shared" si="0"/>
        <v>63431.1</v>
      </c>
    </row>
    <row r="22" spans="1:5" ht="14.4" x14ac:dyDescent="0.3">
      <c r="A22" s="24">
        <v>303</v>
      </c>
      <c r="B22" s="25" t="s">
        <v>170</v>
      </c>
      <c r="C22" s="26">
        <v>49879</v>
      </c>
      <c r="D22" s="27">
        <v>35</v>
      </c>
      <c r="E22" s="28">
        <f t="shared" si="0"/>
        <v>67336.649999999994</v>
      </c>
    </row>
    <row r="23" spans="1:5" ht="14.4" x14ac:dyDescent="0.3">
      <c r="A23" s="24">
        <v>341</v>
      </c>
      <c r="B23" s="25" t="s">
        <v>171</v>
      </c>
      <c r="C23" s="26">
        <v>41499</v>
      </c>
      <c r="D23" s="27">
        <v>35</v>
      </c>
      <c r="E23" s="28">
        <f t="shared" si="0"/>
        <v>56023.65</v>
      </c>
    </row>
    <row r="24" spans="1:5" ht="14.4" x14ac:dyDescent="0.3">
      <c r="A24" s="24">
        <v>342</v>
      </c>
      <c r="B24" s="25" t="s">
        <v>172</v>
      </c>
      <c r="C24" s="26">
        <v>46986</v>
      </c>
      <c r="D24" s="27">
        <v>35</v>
      </c>
      <c r="E24" s="28">
        <f t="shared" si="0"/>
        <v>63431.1</v>
      </c>
    </row>
    <row r="25" spans="1:5" ht="14.4" x14ac:dyDescent="0.3">
      <c r="A25" s="24">
        <v>343</v>
      </c>
      <c r="B25" s="25" t="s">
        <v>173</v>
      </c>
      <c r="C25" s="26">
        <v>49879</v>
      </c>
      <c r="D25" s="27">
        <v>35</v>
      </c>
      <c r="E25" s="28">
        <f t="shared" si="0"/>
        <v>67336.649999999994</v>
      </c>
    </row>
    <row r="26" spans="1:5" ht="14.4" x14ac:dyDescent="0.3">
      <c r="A26" s="24">
        <v>400</v>
      </c>
      <c r="B26" s="25" t="s">
        <v>174</v>
      </c>
      <c r="C26" s="26">
        <v>39803</v>
      </c>
      <c r="D26" s="27">
        <v>35</v>
      </c>
      <c r="E26" s="28">
        <f t="shared" si="0"/>
        <v>53734.05</v>
      </c>
    </row>
    <row r="27" spans="1:5" ht="14.4" x14ac:dyDescent="0.3">
      <c r="A27" s="24">
        <v>410</v>
      </c>
      <c r="B27" s="25" t="s">
        <v>175</v>
      </c>
      <c r="C27" s="26">
        <v>90187</v>
      </c>
      <c r="D27" s="27">
        <v>35</v>
      </c>
      <c r="E27" s="28">
        <f t="shared" si="0"/>
        <v>121752.45</v>
      </c>
    </row>
    <row r="28" spans="1:5" ht="14.4" x14ac:dyDescent="0.3">
      <c r="A28" s="24" t="s">
        <v>15</v>
      </c>
      <c r="B28" s="25" t="s">
        <v>176</v>
      </c>
      <c r="C28" s="26">
        <v>95569</v>
      </c>
      <c r="D28" s="27">
        <v>35</v>
      </c>
      <c r="E28" s="28">
        <f t="shared" si="0"/>
        <v>129018.15</v>
      </c>
    </row>
    <row r="29" spans="1:5" ht="14.4" x14ac:dyDescent="0.3">
      <c r="A29" s="24" t="s">
        <v>16</v>
      </c>
      <c r="B29" s="25" t="s">
        <v>177</v>
      </c>
      <c r="C29" s="26">
        <v>44292</v>
      </c>
      <c r="D29" s="27">
        <v>35</v>
      </c>
      <c r="E29" s="28">
        <f t="shared" si="0"/>
        <v>59794.2</v>
      </c>
    </row>
    <row r="30" spans="1:5" ht="14.4" x14ac:dyDescent="0.3">
      <c r="A30" s="24" t="s">
        <v>17</v>
      </c>
      <c r="B30" s="25" t="s">
        <v>178</v>
      </c>
      <c r="C30" s="26">
        <v>86992</v>
      </c>
      <c r="D30" s="27">
        <v>35</v>
      </c>
      <c r="E30" s="28">
        <f t="shared" si="0"/>
        <v>117439.2</v>
      </c>
    </row>
    <row r="31" spans="1:5" ht="14.4" x14ac:dyDescent="0.3">
      <c r="A31" s="24" t="s">
        <v>18</v>
      </c>
      <c r="B31" s="25" t="s">
        <v>179</v>
      </c>
      <c r="C31" s="26">
        <v>122901</v>
      </c>
      <c r="D31" s="27">
        <v>35</v>
      </c>
      <c r="E31" s="28">
        <f t="shared" si="0"/>
        <v>165916.35</v>
      </c>
    </row>
    <row r="32" spans="1:5" ht="14.4" x14ac:dyDescent="0.3">
      <c r="A32" s="24" t="s">
        <v>19</v>
      </c>
      <c r="B32" s="25" t="s">
        <v>180</v>
      </c>
      <c r="C32" s="26">
        <v>86979</v>
      </c>
      <c r="D32" s="27">
        <v>35</v>
      </c>
      <c r="E32" s="28">
        <f t="shared" si="0"/>
        <v>117421.65</v>
      </c>
    </row>
    <row r="33" spans="1:5" ht="14.4" x14ac:dyDescent="0.3">
      <c r="A33" s="24" t="s">
        <v>20</v>
      </c>
      <c r="B33" s="25" t="s">
        <v>181</v>
      </c>
      <c r="C33" s="26">
        <v>64743</v>
      </c>
      <c r="D33" s="27">
        <v>35</v>
      </c>
      <c r="E33" s="28">
        <f t="shared" si="0"/>
        <v>87403.05</v>
      </c>
    </row>
    <row r="34" spans="1:5" ht="14.4" x14ac:dyDescent="0.3">
      <c r="A34" s="24" t="s">
        <v>21</v>
      </c>
      <c r="B34" s="25" t="s">
        <v>182</v>
      </c>
      <c r="C34" s="26">
        <v>66938</v>
      </c>
      <c r="D34" s="27">
        <v>35</v>
      </c>
      <c r="E34" s="28">
        <f t="shared" si="0"/>
        <v>90366.3</v>
      </c>
    </row>
    <row r="35" spans="1:5" ht="14.4" x14ac:dyDescent="0.3">
      <c r="A35" s="24" t="s">
        <v>22</v>
      </c>
      <c r="B35" s="25" t="s">
        <v>183</v>
      </c>
      <c r="C35" s="26">
        <v>145379</v>
      </c>
      <c r="D35" s="27">
        <v>35</v>
      </c>
      <c r="E35" s="28">
        <f t="shared" si="0"/>
        <v>196261.65</v>
      </c>
    </row>
    <row r="36" spans="1:5" ht="14.4" x14ac:dyDescent="0.3">
      <c r="A36" s="24" t="s">
        <v>23</v>
      </c>
      <c r="B36" s="25" t="s">
        <v>184</v>
      </c>
      <c r="C36" s="26">
        <v>103273</v>
      </c>
      <c r="D36" s="27">
        <v>35</v>
      </c>
      <c r="E36" s="28">
        <f t="shared" si="0"/>
        <v>139418.54999999999</v>
      </c>
    </row>
    <row r="37" spans="1:5" ht="14.4" x14ac:dyDescent="0.3">
      <c r="A37" s="24" t="s">
        <v>24</v>
      </c>
      <c r="B37" s="25" t="s">
        <v>185</v>
      </c>
      <c r="C37" s="26">
        <v>128170</v>
      </c>
      <c r="D37" s="27">
        <v>35</v>
      </c>
      <c r="E37" s="28">
        <f t="shared" si="0"/>
        <v>173029.5</v>
      </c>
    </row>
    <row r="38" spans="1:5" ht="14.4" x14ac:dyDescent="0.3">
      <c r="A38" s="24">
        <v>204</v>
      </c>
      <c r="B38" s="25" t="s">
        <v>186</v>
      </c>
      <c r="C38" s="26">
        <v>73122</v>
      </c>
      <c r="D38" s="27">
        <v>35</v>
      </c>
      <c r="E38" s="28">
        <f t="shared" si="0"/>
        <v>98714.7</v>
      </c>
    </row>
    <row r="39" spans="1:5" ht="14.4" x14ac:dyDescent="0.3">
      <c r="A39" s="24">
        <v>205</v>
      </c>
      <c r="B39" s="25" t="s">
        <v>187</v>
      </c>
      <c r="C39" s="26">
        <v>75517</v>
      </c>
      <c r="D39" s="27">
        <v>35</v>
      </c>
      <c r="E39" s="28">
        <f t="shared" si="0"/>
        <v>101947.95</v>
      </c>
    </row>
    <row r="40" spans="1:5" ht="14.4" x14ac:dyDescent="0.3">
      <c r="A40" s="24">
        <v>304</v>
      </c>
      <c r="B40" s="25" t="s">
        <v>188</v>
      </c>
      <c r="C40" s="26">
        <v>78409</v>
      </c>
      <c r="D40" s="27">
        <v>35</v>
      </c>
      <c r="E40" s="28">
        <f t="shared" si="0"/>
        <v>105852.15</v>
      </c>
    </row>
    <row r="41" spans="1:5" ht="14.4" x14ac:dyDescent="0.3">
      <c r="A41" s="24">
        <v>305</v>
      </c>
      <c r="B41" s="25" t="s">
        <v>189</v>
      </c>
      <c r="C41" s="26">
        <v>81905</v>
      </c>
      <c r="D41" s="27">
        <v>35</v>
      </c>
      <c r="E41" s="28">
        <f t="shared" si="0"/>
        <v>110571.75</v>
      </c>
    </row>
    <row r="42" spans="1:5" ht="14.4" x14ac:dyDescent="0.3">
      <c r="A42" s="24">
        <v>306</v>
      </c>
      <c r="B42" s="25" t="s">
        <v>190</v>
      </c>
      <c r="C42" s="26">
        <v>90181</v>
      </c>
      <c r="D42" s="27">
        <v>35</v>
      </c>
      <c r="E42" s="28">
        <f t="shared" si="0"/>
        <v>121744.35</v>
      </c>
    </row>
    <row r="43" spans="1:5" ht="14.4" x14ac:dyDescent="0.3">
      <c r="A43" s="24">
        <v>344</v>
      </c>
      <c r="B43" s="25" t="s">
        <v>191</v>
      </c>
      <c r="C43" s="26">
        <v>78409</v>
      </c>
      <c r="D43" s="27">
        <v>35</v>
      </c>
      <c r="E43" s="28">
        <f t="shared" si="0"/>
        <v>105852.15</v>
      </c>
    </row>
    <row r="44" spans="1:5" ht="14.4" x14ac:dyDescent="0.3">
      <c r="A44" s="24">
        <v>345</v>
      </c>
      <c r="B44" s="25" t="s">
        <v>192</v>
      </c>
      <c r="C44" s="26">
        <v>85990</v>
      </c>
      <c r="D44" s="27">
        <v>35</v>
      </c>
      <c r="E44" s="28">
        <f t="shared" si="0"/>
        <v>116086.5</v>
      </c>
    </row>
    <row r="45" spans="1:5" ht="14.4" x14ac:dyDescent="0.3">
      <c r="A45" s="24" t="s">
        <v>25</v>
      </c>
      <c r="B45" s="25" t="s">
        <v>193</v>
      </c>
      <c r="C45" s="26">
        <v>186676</v>
      </c>
      <c r="D45" s="27">
        <v>35</v>
      </c>
      <c r="E45" s="28">
        <f t="shared" si="0"/>
        <v>252012.6</v>
      </c>
    </row>
    <row r="46" spans="1:5" ht="14.4" x14ac:dyDescent="0.3">
      <c r="A46" s="24" t="s">
        <v>26</v>
      </c>
      <c r="B46" s="25" t="s">
        <v>194</v>
      </c>
      <c r="C46" s="26">
        <v>199145</v>
      </c>
      <c r="D46" s="27">
        <v>35</v>
      </c>
      <c r="E46" s="28">
        <f t="shared" si="0"/>
        <v>268845.75</v>
      </c>
    </row>
    <row r="47" spans="1:5" ht="14.4" x14ac:dyDescent="0.3">
      <c r="A47" s="24" t="s">
        <v>27</v>
      </c>
      <c r="B47" s="25" t="s">
        <v>195</v>
      </c>
      <c r="C47" s="26">
        <v>148139</v>
      </c>
      <c r="D47" s="27">
        <v>35</v>
      </c>
      <c r="E47" s="28">
        <f t="shared" si="0"/>
        <v>199987.65</v>
      </c>
    </row>
    <row r="48" spans="1:5" ht="14.4" x14ac:dyDescent="0.3">
      <c r="A48" s="24" t="s">
        <v>28</v>
      </c>
      <c r="B48" s="25" t="s">
        <v>196</v>
      </c>
      <c r="C48" s="26">
        <v>122590</v>
      </c>
      <c r="D48" s="27">
        <v>35</v>
      </c>
      <c r="E48" s="28">
        <f t="shared" si="0"/>
        <v>165496.5</v>
      </c>
    </row>
    <row r="49" spans="1:5" ht="14.4" x14ac:dyDescent="0.3">
      <c r="A49" s="24">
        <v>408</v>
      </c>
      <c r="B49" s="25" t="s">
        <v>197</v>
      </c>
      <c r="C49" s="26">
        <v>173399</v>
      </c>
      <c r="D49" s="27">
        <v>35</v>
      </c>
      <c r="E49" s="28">
        <f t="shared" si="0"/>
        <v>234088.65</v>
      </c>
    </row>
    <row r="50" spans="1:5" ht="14.4" x14ac:dyDescent="0.3">
      <c r="A50" s="24" t="s">
        <v>29</v>
      </c>
      <c r="B50" s="25" t="s">
        <v>198</v>
      </c>
      <c r="C50" s="26">
        <v>244678</v>
      </c>
      <c r="D50" s="27">
        <v>35</v>
      </c>
      <c r="E50" s="28">
        <f t="shared" si="0"/>
        <v>330315.3</v>
      </c>
    </row>
    <row r="51" spans="1:5" ht="14.4" x14ac:dyDescent="0.3">
      <c r="A51" s="24">
        <v>501</v>
      </c>
      <c r="B51" s="25" t="s">
        <v>199</v>
      </c>
      <c r="C51" s="26">
        <v>128165</v>
      </c>
      <c r="D51" s="27">
        <v>35</v>
      </c>
      <c r="E51" s="28">
        <f t="shared" si="0"/>
        <v>173022.75</v>
      </c>
    </row>
    <row r="52" spans="1:5" ht="14.4" x14ac:dyDescent="0.3">
      <c r="A52" s="24" t="s">
        <v>30</v>
      </c>
      <c r="B52" s="25" t="s">
        <v>200</v>
      </c>
      <c r="C52" s="26">
        <v>278371</v>
      </c>
      <c r="D52" s="27">
        <v>35</v>
      </c>
      <c r="E52" s="28">
        <f t="shared" si="0"/>
        <v>375800.85</v>
      </c>
    </row>
    <row r="53" spans="1:5" s="23" customFormat="1" ht="14.4" x14ac:dyDescent="0.3">
      <c r="A53" s="24">
        <v>650</v>
      </c>
      <c r="B53" s="25" t="s">
        <v>235</v>
      </c>
      <c r="C53" s="26">
        <v>154475</v>
      </c>
      <c r="D53" s="27">
        <v>35</v>
      </c>
      <c r="E53" s="28">
        <f t="shared" si="0"/>
        <v>208541.25</v>
      </c>
    </row>
    <row r="54" spans="1:5" s="23" customFormat="1" ht="14.4" x14ac:dyDescent="0.3">
      <c r="A54" s="24">
        <v>350</v>
      </c>
      <c r="B54" s="25" t="s">
        <v>234</v>
      </c>
      <c r="C54" s="26">
        <v>131162</v>
      </c>
      <c r="D54" s="27">
        <v>35</v>
      </c>
      <c r="E54" s="28">
        <f t="shared" si="0"/>
        <v>177068.7</v>
      </c>
    </row>
    <row r="55" spans="1:5" ht="14.4" x14ac:dyDescent="0.3">
      <c r="A55" s="24" t="s">
        <v>31</v>
      </c>
      <c r="B55" s="25" t="s">
        <v>201</v>
      </c>
      <c r="C55" s="26">
        <v>212724</v>
      </c>
      <c r="D55" s="27">
        <v>35</v>
      </c>
      <c r="E55" s="28">
        <f t="shared" si="0"/>
        <v>287177.40000000002</v>
      </c>
    </row>
    <row r="56" spans="1:5" ht="14.4" x14ac:dyDescent="0.3">
      <c r="A56" s="24" t="s">
        <v>32</v>
      </c>
      <c r="B56" s="25" t="s">
        <v>202</v>
      </c>
      <c r="C56" s="26">
        <v>116438</v>
      </c>
      <c r="D56" s="27">
        <v>35</v>
      </c>
      <c r="E56" s="28">
        <f t="shared" si="0"/>
        <v>157191.29999999999</v>
      </c>
    </row>
  </sheetData>
  <autoFilter ref="A14:E56" xr:uid="{00000000-0009-0000-0000-000003000000}"/>
  <mergeCells count="2">
    <mergeCell ref="A1:E1"/>
    <mergeCell ref="A2:E2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4"/>
  <sheetViews>
    <sheetView workbookViewId="0">
      <selection activeCell="F9" sqref="F9"/>
    </sheetView>
  </sheetViews>
  <sheetFormatPr baseColWidth="10" defaultColWidth="13" defaultRowHeight="13.8" x14ac:dyDescent="0.3"/>
  <cols>
    <col min="1" max="1" width="9.59765625" bestFit="1" customWidth="1"/>
    <col min="2" max="2" width="39.3984375" bestFit="1" customWidth="1"/>
    <col min="3" max="3" width="10.5" hidden="1" customWidth="1"/>
    <col min="4" max="4" width="13.59765625" hidden="1" customWidth="1"/>
    <col min="5" max="5" width="13" customWidth="1"/>
  </cols>
  <sheetData>
    <row r="1" spans="1:5" ht="15.6" x14ac:dyDescent="0.3">
      <c r="A1" s="29" t="s">
        <v>243</v>
      </c>
      <c r="B1" s="29"/>
      <c r="C1" s="29"/>
      <c r="D1" s="29"/>
      <c r="E1" s="29"/>
    </row>
    <row r="2" spans="1:5" ht="15.6" x14ac:dyDescent="0.3">
      <c r="A2" s="30" t="s">
        <v>247</v>
      </c>
      <c r="B2" s="30"/>
      <c r="C2" s="30"/>
      <c r="D2" s="30"/>
      <c r="E2" s="30"/>
    </row>
    <row r="13" spans="1:5" ht="14.4" thickBot="1" x14ac:dyDescent="0.35"/>
    <row r="14" spans="1:5" ht="14.4" thickBot="1" x14ac:dyDescent="0.35">
      <c r="A14" s="13" t="s">
        <v>136</v>
      </c>
      <c r="B14" s="13" t="s">
        <v>137</v>
      </c>
      <c r="C14" s="13" t="s">
        <v>138</v>
      </c>
      <c r="D14" s="13" t="s">
        <v>139</v>
      </c>
      <c r="E14" s="13" t="s">
        <v>140</v>
      </c>
    </row>
    <row r="15" spans="1:5" ht="15" thickBot="1" x14ac:dyDescent="0.35">
      <c r="A15" s="17" t="s">
        <v>5</v>
      </c>
      <c r="B15" s="18" t="s">
        <v>203</v>
      </c>
      <c r="C15" s="19">
        <v>21222</v>
      </c>
      <c r="D15" s="20">
        <v>35</v>
      </c>
      <c r="E15" s="21">
        <f t="shared" ref="E15:E24" si="0">(((C15*(D15)))/100)+C15</f>
        <v>28649.7</v>
      </c>
    </row>
    <row r="16" spans="1:5" ht="15" thickBot="1" x14ac:dyDescent="0.35">
      <c r="A16" s="4" t="s">
        <v>6</v>
      </c>
      <c r="B16" s="2" t="s">
        <v>204</v>
      </c>
      <c r="C16" s="1">
        <v>22982</v>
      </c>
      <c r="D16" s="20">
        <v>35</v>
      </c>
      <c r="E16" s="6">
        <f t="shared" si="0"/>
        <v>31025.7</v>
      </c>
    </row>
    <row r="17" spans="1:5" ht="15" thickBot="1" x14ac:dyDescent="0.35">
      <c r="A17" s="4" t="s">
        <v>7</v>
      </c>
      <c r="B17" s="2" t="s">
        <v>205</v>
      </c>
      <c r="C17" s="1">
        <v>22465</v>
      </c>
      <c r="D17" s="20">
        <v>35</v>
      </c>
      <c r="E17" s="6">
        <f t="shared" si="0"/>
        <v>30327.75</v>
      </c>
    </row>
    <row r="18" spans="1:5" ht="15" thickBot="1" x14ac:dyDescent="0.35">
      <c r="A18" s="4" t="s">
        <v>8</v>
      </c>
      <c r="B18" s="2" t="s">
        <v>206</v>
      </c>
      <c r="C18" s="1">
        <v>24120</v>
      </c>
      <c r="D18" s="20">
        <v>35</v>
      </c>
      <c r="E18" s="6">
        <f t="shared" si="0"/>
        <v>32562</v>
      </c>
    </row>
    <row r="19" spans="1:5" ht="15" thickBot="1" x14ac:dyDescent="0.35">
      <c r="A19" s="4" t="s">
        <v>9</v>
      </c>
      <c r="B19" s="2" t="s">
        <v>207</v>
      </c>
      <c r="C19" s="1">
        <v>28261</v>
      </c>
      <c r="D19" s="20">
        <v>35</v>
      </c>
      <c r="E19" s="6">
        <f t="shared" si="0"/>
        <v>38152.35</v>
      </c>
    </row>
    <row r="20" spans="1:5" ht="15" thickBot="1" x14ac:dyDescent="0.35">
      <c r="A20" s="4" t="s">
        <v>10</v>
      </c>
      <c r="B20" s="2" t="s">
        <v>208</v>
      </c>
      <c r="C20" s="1">
        <v>23462</v>
      </c>
      <c r="D20" s="20">
        <v>35</v>
      </c>
      <c r="E20" s="6">
        <f t="shared" si="0"/>
        <v>31673.7</v>
      </c>
    </row>
    <row r="21" spans="1:5" ht="15" thickBot="1" x14ac:dyDescent="0.35">
      <c r="A21" s="4" t="s">
        <v>11</v>
      </c>
      <c r="B21" s="2" t="s">
        <v>209</v>
      </c>
      <c r="C21" s="1">
        <v>45780</v>
      </c>
      <c r="D21" s="20">
        <v>35</v>
      </c>
      <c r="E21" s="6">
        <f t="shared" si="0"/>
        <v>61803</v>
      </c>
    </row>
    <row r="22" spans="1:5" ht="15" thickBot="1" x14ac:dyDescent="0.35">
      <c r="A22" s="4" t="s">
        <v>12</v>
      </c>
      <c r="B22" s="2" t="s">
        <v>210</v>
      </c>
      <c r="C22" s="1">
        <v>47158</v>
      </c>
      <c r="D22" s="20">
        <v>35</v>
      </c>
      <c r="E22" s="6">
        <f t="shared" si="0"/>
        <v>63663.3</v>
      </c>
    </row>
    <row r="23" spans="1:5" ht="15" thickBot="1" x14ac:dyDescent="0.35">
      <c r="A23" s="4" t="s">
        <v>13</v>
      </c>
      <c r="B23" s="2" t="s">
        <v>211</v>
      </c>
      <c r="C23" s="1">
        <v>47747</v>
      </c>
      <c r="D23" s="20">
        <v>35</v>
      </c>
      <c r="E23" s="6">
        <f t="shared" si="0"/>
        <v>64458.45</v>
      </c>
    </row>
    <row r="24" spans="1:5" ht="15" thickBot="1" x14ac:dyDescent="0.35">
      <c r="A24" s="7" t="s">
        <v>14</v>
      </c>
      <c r="B24" s="8" t="s">
        <v>212</v>
      </c>
      <c r="C24" s="9">
        <v>49506</v>
      </c>
      <c r="D24" s="20">
        <v>35</v>
      </c>
      <c r="E24" s="11">
        <f t="shared" si="0"/>
        <v>66833.100000000006</v>
      </c>
    </row>
  </sheetData>
  <autoFilter ref="A14:E24" xr:uid="{00000000-0009-0000-0000-000004000000}"/>
  <mergeCells count="2">
    <mergeCell ref="A1:E1"/>
    <mergeCell ref="A2:E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"/>
  <sheetViews>
    <sheetView workbookViewId="0">
      <selection activeCell="F19" sqref="F19"/>
    </sheetView>
  </sheetViews>
  <sheetFormatPr baseColWidth="10" defaultRowHeight="13.8" x14ac:dyDescent="0.3"/>
  <cols>
    <col min="1" max="1" width="9.59765625" bestFit="1" customWidth="1"/>
    <col min="2" max="2" width="35.59765625" bestFit="1" customWidth="1"/>
    <col min="3" max="3" width="11.3984375" bestFit="1" customWidth="1"/>
    <col min="4" max="4" width="13.59765625" hidden="1" customWidth="1"/>
    <col min="5" max="5" width="13" bestFit="1" customWidth="1"/>
  </cols>
  <sheetData>
    <row r="1" spans="1:5" ht="15.6" x14ac:dyDescent="0.3">
      <c r="A1" s="29" t="s">
        <v>243</v>
      </c>
      <c r="B1" s="29"/>
      <c r="C1" s="29"/>
      <c r="D1" s="29"/>
      <c r="E1" s="29"/>
    </row>
    <row r="2" spans="1:5" ht="15.6" x14ac:dyDescent="0.3">
      <c r="A2" s="30" t="s">
        <v>247</v>
      </c>
      <c r="B2" s="30"/>
      <c r="C2" s="30"/>
      <c r="D2" s="30"/>
      <c r="E2" s="30"/>
    </row>
    <row r="13" spans="1:5" ht="14.4" thickBot="1" x14ac:dyDescent="0.35"/>
    <row r="14" spans="1:5" ht="14.4" thickBot="1" x14ac:dyDescent="0.35">
      <c r="A14" s="13" t="s">
        <v>136</v>
      </c>
      <c r="B14" s="13" t="s">
        <v>137</v>
      </c>
      <c r="C14" s="13" t="s">
        <v>138</v>
      </c>
      <c r="D14" s="13" t="s">
        <v>139</v>
      </c>
      <c r="E14" s="13" t="s">
        <v>140</v>
      </c>
    </row>
    <row r="15" spans="1:5" ht="15" thickBot="1" x14ac:dyDescent="0.35">
      <c r="A15" s="17" t="s">
        <v>37</v>
      </c>
      <c r="B15" s="18" t="s">
        <v>213</v>
      </c>
      <c r="C15" s="19">
        <v>268282</v>
      </c>
      <c r="D15" s="20">
        <v>35</v>
      </c>
      <c r="E15" s="21">
        <f>(((C15*(D15)))/100)+C15</f>
        <v>362180.7</v>
      </c>
    </row>
    <row r="16" spans="1:5" ht="15" thickBot="1" x14ac:dyDescent="0.35">
      <c r="A16" s="4" t="s">
        <v>38</v>
      </c>
      <c r="B16" s="2" t="s">
        <v>214</v>
      </c>
      <c r="C16" s="1">
        <v>268282</v>
      </c>
      <c r="D16" s="20">
        <v>35</v>
      </c>
      <c r="E16" s="6">
        <f>(((C16*(D16)))/100)+C16</f>
        <v>362180.7</v>
      </c>
    </row>
    <row r="17" spans="1:5" ht="15" thickBot="1" x14ac:dyDescent="0.35">
      <c r="A17" s="4" t="s">
        <v>39</v>
      </c>
      <c r="B17" s="2" t="s">
        <v>215</v>
      </c>
      <c r="C17" s="1">
        <v>252730</v>
      </c>
      <c r="D17" s="20">
        <v>35</v>
      </c>
      <c r="E17" s="6">
        <f>(((C17*(D17)))/100)+C17</f>
        <v>341185.5</v>
      </c>
    </row>
    <row r="18" spans="1:5" ht="15" thickBot="1" x14ac:dyDescent="0.35">
      <c r="A18" s="4" t="s">
        <v>40</v>
      </c>
      <c r="B18" s="2" t="s">
        <v>216</v>
      </c>
      <c r="C18" s="1">
        <v>252730</v>
      </c>
      <c r="D18" s="20">
        <v>35</v>
      </c>
      <c r="E18" s="6">
        <f>(((C18*(D18)))/100)+C18</f>
        <v>341185.5</v>
      </c>
    </row>
    <row r="19" spans="1:5" ht="15" thickBot="1" x14ac:dyDescent="0.35">
      <c r="A19" s="7" t="s">
        <v>41</v>
      </c>
      <c r="B19" s="8" t="s">
        <v>217</v>
      </c>
      <c r="C19" s="9">
        <v>264394</v>
      </c>
      <c r="D19" s="20">
        <v>35</v>
      </c>
      <c r="E19" s="11">
        <f>(((C19*(D19)))/100)+C19</f>
        <v>356931.9</v>
      </c>
    </row>
  </sheetData>
  <autoFilter ref="A14:E19" xr:uid="{00000000-0009-0000-0000-000005000000}"/>
  <mergeCells count="2">
    <mergeCell ref="A1:E1"/>
    <mergeCell ref="A2:E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"/>
  <sheetViews>
    <sheetView workbookViewId="0">
      <selection activeCell="D3" sqref="D1:D1048576"/>
    </sheetView>
  </sheetViews>
  <sheetFormatPr baseColWidth="10" defaultRowHeight="13.8" x14ac:dyDescent="0.3"/>
  <cols>
    <col min="1" max="1" width="7.59765625" bestFit="1" customWidth="1"/>
    <col min="2" max="2" width="31.3984375" bestFit="1" customWidth="1"/>
    <col min="3" max="3" width="10.5" bestFit="1" customWidth="1"/>
    <col min="4" max="4" width="11.59765625" hidden="1" customWidth="1"/>
    <col min="5" max="5" width="16.3984375" customWidth="1"/>
  </cols>
  <sheetData>
    <row r="1" spans="1:5" ht="15.6" x14ac:dyDescent="0.3">
      <c r="A1" s="29" t="s">
        <v>243</v>
      </c>
      <c r="B1" s="29"/>
      <c r="C1" s="29"/>
      <c r="D1" s="29"/>
      <c r="E1" s="29"/>
    </row>
    <row r="2" spans="1:5" ht="15.6" x14ac:dyDescent="0.3">
      <c r="A2" s="30" t="s">
        <v>247</v>
      </c>
      <c r="B2" s="30"/>
      <c r="C2" s="30"/>
      <c r="D2" s="30"/>
      <c r="E2" s="30"/>
    </row>
    <row r="13" spans="1:5" ht="14.4" thickBot="1" x14ac:dyDescent="0.35"/>
    <row r="14" spans="1:5" ht="14.4" thickBot="1" x14ac:dyDescent="0.35">
      <c r="A14" s="13" t="s">
        <v>136</v>
      </c>
      <c r="B14" s="13" t="s">
        <v>137</v>
      </c>
      <c r="C14" s="13" t="s">
        <v>138</v>
      </c>
      <c r="D14" s="13" t="s">
        <v>139</v>
      </c>
      <c r="E14" s="13" t="s">
        <v>140</v>
      </c>
    </row>
    <row r="15" spans="1:5" ht="15" thickBot="1" x14ac:dyDescent="0.35">
      <c r="A15" s="17">
        <v>451</v>
      </c>
      <c r="B15" s="18" t="s">
        <v>218</v>
      </c>
      <c r="C15" s="19">
        <v>38263</v>
      </c>
      <c r="D15" s="20">
        <v>35</v>
      </c>
      <c r="E15" s="21">
        <f t="shared" ref="E15:E25" si="0">(((C15*(D15)))/100)+C15</f>
        <v>51655.05</v>
      </c>
    </row>
    <row r="16" spans="1:5" ht="15" thickBot="1" x14ac:dyDescent="0.35">
      <c r="A16" s="4">
        <v>454</v>
      </c>
      <c r="B16" s="2" t="s">
        <v>219</v>
      </c>
      <c r="C16" s="1">
        <v>27727</v>
      </c>
      <c r="D16" s="20">
        <v>35</v>
      </c>
      <c r="E16" s="6">
        <f t="shared" si="0"/>
        <v>37431.449999999997</v>
      </c>
    </row>
    <row r="17" spans="1:5" ht="15" thickBot="1" x14ac:dyDescent="0.35">
      <c r="A17" s="4">
        <v>455</v>
      </c>
      <c r="B17" s="2" t="s">
        <v>220</v>
      </c>
      <c r="C17" s="1">
        <v>29946</v>
      </c>
      <c r="D17" s="20">
        <v>35</v>
      </c>
      <c r="E17" s="6">
        <f t="shared" si="0"/>
        <v>40427.1</v>
      </c>
    </row>
    <row r="18" spans="1:5" ht="15" thickBot="1" x14ac:dyDescent="0.35">
      <c r="A18" s="4">
        <v>456</v>
      </c>
      <c r="B18" s="2" t="s">
        <v>221</v>
      </c>
      <c r="C18" s="1">
        <v>35675</v>
      </c>
      <c r="D18" s="20">
        <v>35</v>
      </c>
      <c r="E18" s="6">
        <f t="shared" si="0"/>
        <v>48161.25</v>
      </c>
    </row>
    <row r="19" spans="1:5" ht="15" thickBot="1" x14ac:dyDescent="0.35">
      <c r="A19" s="4">
        <v>457</v>
      </c>
      <c r="B19" s="2" t="s">
        <v>222</v>
      </c>
      <c r="C19" s="1">
        <v>27727</v>
      </c>
      <c r="D19" s="20">
        <v>35</v>
      </c>
      <c r="E19" s="6">
        <f t="shared" si="0"/>
        <v>37431.449999999997</v>
      </c>
    </row>
    <row r="20" spans="1:5" ht="15" thickBot="1" x14ac:dyDescent="0.35">
      <c r="A20" s="4">
        <v>458</v>
      </c>
      <c r="B20" s="2" t="s">
        <v>223</v>
      </c>
      <c r="C20" s="1">
        <v>29946</v>
      </c>
      <c r="D20" s="20">
        <v>35</v>
      </c>
      <c r="E20" s="6">
        <f t="shared" si="0"/>
        <v>40427.1</v>
      </c>
    </row>
    <row r="21" spans="1:5" ht="15" thickBot="1" x14ac:dyDescent="0.35">
      <c r="A21" s="4" t="s">
        <v>42</v>
      </c>
      <c r="B21" s="2" t="s">
        <v>224</v>
      </c>
      <c r="C21" s="1">
        <v>52990</v>
      </c>
      <c r="D21" s="20">
        <v>35</v>
      </c>
      <c r="E21" s="6">
        <f t="shared" si="0"/>
        <v>71536.5</v>
      </c>
    </row>
    <row r="22" spans="1:5" ht="15" thickBot="1" x14ac:dyDescent="0.35">
      <c r="A22" s="4" t="s">
        <v>43</v>
      </c>
      <c r="B22" s="2" t="s">
        <v>225</v>
      </c>
      <c r="C22" s="1">
        <v>27148</v>
      </c>
      <c r="D22" s="20">
        <v>35</v>
      </c>
      <c r="E22" s="6">
        <f t="shared" si="0"/>
        <v>36649.800000000003</v>
      </c>
    </row>
    <row r="23" spans="1:5" ht="15" thickBot="1" x14ac:dyDescent="0.35">
      <c r="A23" s="4" t="s">
        <v>44</v>
      </c>
      <c r="B23" s="2" t="s">
        <v>226</v>
      </c>
      <c r="C23" s="1">
        <v>31038</v>
      </c>
      <c r="D23" s="20">
        <v>35</v>
      </c>
      <c r="E23" s="6">
        <f t="shared" si="0"/>
        <v>41901.300000000003</v>
      </c>
    </row>
    <row r="24" spans="1:5" ht="15" thickBot="1" x14ac:dyDescent="0.35">
      <c r="A24" s="4" t="s">
        <v>45</v>
      </c>
      <c r="B24" s="2" t="s">
        <v>227</v>
      </c>
      <c r="C24" s="1">
        <v>58694</v>
      </c>
      <c r="D24" s="20">
        <v>35</v>
      </c>
      <c r="E24" s="6">
        <f t="shared" si="0"/>
        <v>79236.899999999994</v>
      </c>
    </row>
    <row r="25" spans="1:5" ht="15" thickBot="1" x14ac:dyDescent="0.35">
      <c r="A25" s="7" t="s">
        <v>46</v>
      </c>
      <c r="B25" s="8" t="s">
        <v>228</v>
      </c>
      <c r="C25" s="9">
        <v>48060</v>
      </c>
      <c r="D25" s="20">
        <v>35</v>
      </c>
      <c r="E25" s="11">
        <f t="shared" si="0"/>
        <v>64881</v>
      </c>
    </row>
  </sheetData>
  <autoFilter ref="A14:E25" xr:uid="{00000000-0009-0000-0000-000006000000}"/>
  <mergeCells count="2">
    <mergeCell ref="A1:E1"/>
    <mergeCell ref="A2:E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8"/>
  <sheetViews>
    <sheetView workbookViewId="0">
      <selection activeCell="C3" sqref="C1:C1048576"/>
    </sheetView>
  </sheetViews>
  <sheetFormatPr baseColWidth="10" defaultRowHeight="13.8" x14ac:dyDescent="0.3"/>
  <cols>
    <col min="1" max="1" width="7.59765625" bestFit="1" customWidth="1"/>
    <col min="2" max="2" width="24.8984375" bestFit="1" customWidth="1"/>
    <col min="3" max="3" width="11.3984375" hidden="1" customWidth="1"/>
    <col min="4" max="4" width="11.59765625" hidden="1" customWidth="1"/>
    <col min="5" max="5" width="12.59765625" customWidth="1"/>
  </cols>
  <sheetData>
    <row r="1" spans="1:5" ht="15.6" x14ac:dyDescent="0.3">
      <c r="A1" s="29" t="s">
        <v>243</v>
      </c>
      <c r="B1" s="29"/>
      <c r="C1" s="29"/>
      <c r="D1" s="29"/>
      <c r="E1" s="29"/>
    </row>
    <row r="2" spans="1:5" ht="15.6" x14ac:dyDescent="0.3">
      <c r="A2" s="30" t="s">
        <v>247</v>
      </c>
      <c r="B2" s="30"/>
      <c r="C2" s="30"/>
      <c r="D2" s="30"/>
      <c r="E2" s="30"/>
    </row>
    <row r="13" spans="1:5" ht="14.4" thickBot="1" x14ac:dyDescent="0.35"/>
    <row r="14" spans="1:5" ht="14.4" thickBot="1" x14ac:dyDescent="0.35">
      <c r="A14" s="13" t="s">
        <v>136</v>
      </c>
      <c r="B14" s="13" t="s">
        <v>137</v>
      </c>
      <c r="C14" s="13" t="s">
        <v>138</v>
      </c>
      <c r="D14" s="13" t="s">
        <v>139</v>
      </c>
      <c r="E14" s="13" t="s">
        <v>140</v>
      </c>
    </row>
    <row r="15" spans="1:5" ht="15" thickBot="1" x14ac:dyDescent="0.35">
      <c r="A15" s="17" t="s">
        <v>47</v>
      </c>
      <c r="B15" s="18" t="s">
        <v>229</v>
      </c>
      <c r="C15" s="19">
        <v>85221</v>
      </c>
      <c r="D15" s="20">
        <v>35</v>
      </c>
      <c r="E15" s="21">
        <f>(((C15*(D15)))/100)+C15</f>
        <v>115048.35</v>
      </c>
    </row>
    <row r="16" spans="1:5" ht="15" thickBot="1" x14ac:dyDescent="0.35">
      <c r="A16" s="4" t="s">
        <v>48</v>
      </c>
      <c r="B16" s="2" t="s">
        <v>230</v>
      </c>
      <c r="C16" s="1">
        <v>77051</v>
      </c>
      <c r="D16" s="20">
        <v>20</v>
      </c>
      <c r="E16" s="6">
        <f>(((C16*(D16)))/100)+C16</f>
        <v>92461.2</v>
      </c>
    </row>
    <row r="17" spans="1:5" ht="15" thickBot="1" x14ac:dyDescent="0.35">
      <c r="A17" s="4" t="s">
        <v>49</v>
      </c>
      <c r="B17" s="2" t="s">
        <v>231</v>
      </c>
      <c r="C17" s="1">
        <v>104845</v>
      </c>
      <c r="D17" s="20">
        <v>35</v>
      </c>
      <c r="E17" s="6">
        <f>(((C17*(D17)))/100)+C17</f>
        <v>141540.75</v>
      </c>
    </row>
    <row r="18" spans="1:5" ht="15" thickBot="1" x14ac:dyDescent="0.35">
      <c r="A18" s="7" t="s">
        <v>50</v>
      </c>
      <c r="B18" s="8" t="s">
        <v>232</v>
      </c>
      <c r="C18" s="9">
        <v>114447</v>
      </c>
      <c r="D18" s="20">
        <v>35</v>
      </c>
      <c r="E18" s="11">
        <f>(((C18*(D18)))/100)+C18</f>
        <v>154503.45000000001</v>
      </c>
    </row>
  </sheetData>
  <autoFilter ref="A14:E18" xr:uid="{00000000-0009-0000-0000-000007000000}"/>
  <mergeCells count="2">
    <mergeCell ref="A1:E1"/>
    <mergeCell ref="A2:E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5"/>
  <sheetViews>
    <sheetView workbookViewId="0">
      <selection activeCell="O15" sqref="O15"/>
    </sheetView>
  </sheetViews>
  <sheetFormatPr baseColWidth="10" defaultRowHeight="13.8" x14ac:dyDescent="0.3"/>
  <cols>
    <col min="3" max="4" width="0" hidden="1" customWidth="1"/>
    <col min="8" max="9" width="0" hidden="1" customWidth="1"/>
    <col min="13" max="14" width="0" hidden="1" customWidth="1"/>
  </cols>
  <sheetData>
    <row r="1" spans="1:15" x14ac:dyDescent="0.3">
      <c r="A1" s="3" t="s">
        <v>236</v>
      </c>
    </row>
    <row r="2" spans="1:15" x14ac:dyDescent="0.3">
      <c r="A2" t="s">
        <v>238</v>
      </c>
      <c r="B2" s="15">
        <v>249563</v>
      </c>
      <c r="C2">
        <f>+B2*1.06</f>
        <v>264536.78000000003</v>
      </c>
      <c r="D2">
        <f>+ROUNDUP(C2,0)</f>
        <v>264537</v>
      </c>
      <c r="E2" s="14">
        <v>264537</v>
      </c>
      <c r="G2" s="15">
        <v>263204</v>
      </c>
      <c r="H2">
        <f>+G2*1.06</f>
        <v>278996.24</v>
      </c>
      <c r="I2">
        <f>+ROUNDUP(H2,0)</f>
        <v>278997</v>
      </c>
      <c r="J2" s="14">
        <v>278997</v>
      </c>
      <c r="L2" s="15">
        <v>276763</v>
      </c>
      <c r="M2">
        <f>+L2*1.06</f>
        <v>293368.78000000003</v>
      </c>
      <c r="N2">
        <f t="shared" ref="N2:N6" si="0">+ROUNDUP(M2,0)</f>
        <v>293369</v>
      </c>
      <c r="O2" s="14">
        <v>293369</v>
      </c>
    </row>
    <row r="3" spans="1:15" x14ac:dyDescent="0.3">
      <c r="A3" t="s">
        <v>239</v>
      </c>
      <c r="B3" s="15">
        <v>263204</v>
      </c>
      <c r="C3">
        <f t="shared" ref="C3:C6" si="1">+B3*1.06</f>
        <v>278996.24</v>
      </c>
      <c r="D3">
        <f t="shared" ref="D3:D6" si="2">+ROUNDUP(C3,0)</f>
        <v>278997</v>
      </c>
      <c r="E3" s="14">
        <v>278997</v>
      </c>
      <c r="G3" s="15">
        <v>276763</v>
      </c>
      <c r="H3">
        <f t="shared" ref="H3:H6" si="3">+G3*1.06</f>
        <v>293368.78000000003</v>
      </c>
      <c r="I3">
        <f t="shared" ref="I3:I6" si="4">+ROUNDUP(H3,0)</f>
        <v>293369</v>
      </c>
      <c r="J3" s="14">
        <v>293369</v>
      </c>
      <c r="L3" s="15">
        <v>288951</v>
      </c>
      <c r="M3">
        <f t="shared" ref="M3:M6" si="5">+L3*1.06</f>
        <v>306288.06</v>
      </c>
      <c r="N3">
        <f t="shared" si="0"/>
        <v>306289</v>
      </c>
      <c r="O3" s="14">
        <v>306289</v>
      </c>
    </row>
    <row r="4" spans="1:15" x14ac:dyDescent="0.3">
      <c r="A4" t="s">
        <v>240</v>
      </c>
      <c r="B4" s="15">
        <v>276763</v>
      </c>
      <c r="C4">
        <f t="shared" si="1"/>
        <v>293368.78000000003</v>
      </c>
      <c r="D4">
        <f t="shared" si="2"/>
        <v>293369</v>
      </c>
      <c r="E4" s="14">
        <v>293369</v>
      </c>
      <c r="G4" s="15">
        <v>288951</v>
      </c>
      <c r="H4">
        <f t="shared" si="3"/>
        <v>306288.06</v>
      </c>
      <c r="I4">
        <f t="shared" si="4"/>
        <v>306289</v>
      </c>
      <c r="J4" s="14">
        <v>306289</v>
      </c>
      <c r="L4" s="15">
        <v>301461</v>
      </c>
      <c r="M4">
        <f t="shared" si="5"/>
        <v>319548.66000000003</v>
      </c>
      <c r="N4">
        <f t="shared" si="0"/>
        <v>319549</v>
      </c>
      <c r="O4" s="14">
        <v>319549</v>
      </c>
    </row>
    <row r="5" spans="1:15" x14ac:dyDescent="0.3">
      <c r="A5" t="s">
        <v>241</v>
      </c>
      <c r="B5" s="15">
        <v>288951</v>
      </c>
      <c r="C5">
        <f t="shared" si="1"/>
        <v>306288.06</v>
      </c>
      <c r="D5">
        <f t="shared" si="2"/>
        <v>306289</v>
      </c>
      <c r="E5" s="14">
        <v>306289</v>
      </c>
      <c r="G5" s="15">
        <v>301461</v>
      </c>
      <c r="H5">
        <f t="shared" si="3"/>
        <v>319548.66000000003</v>
      </c>
      <c r="I5">
        <f t="shared" si="4"/>
        <v>319549</v>
      </c>
      <c r="J5" s="14">
        <v>319549</v>
      </c>
      <c r="L5" s="15">
        <v>317281</v>
      </c>
      <c r="M5">
        <f t="shared" si="5"/>
        <v>336317.86000000004</v>
      </c>
      <c r="N5">
        <f t="shared" si="0"/>
        <v>336318</v>
      </c>
      <c r="O5" s="14">
        <v>336318</v>
      </c>
    </row>
    <row r="6" spans="1:15" x14ac:dyDescent="0.3">
      <c r="A6" t="s">
        <v>242</v>
      </c>
      <c r="B6" s="15">
        <v>301461</v>
      </c>
      <c r="C6">
        <f t="shared" si="1"/>
        <v>319548.66000000003</v>
      </c>
      <c r="D6">
        <f t="shared" si="2"/>
        <v>319549</v>
      </c>
      <c r="E6" s="14">
        <v>319549</v>
      </c>
      <c r="G6" s="15">
        <v>313972</v>
      </c>
      <c r="H6">
        <f t="shared" si="3"/>
        <v>332810.32</v>
      </c>
      <c r="I6">
        <f t="shared" si="4"/>
        <v>332811</v>
      </c>
      <c r="J6" s="14">
        <v>332811</v>
      </c>
      <c r="L6" s="15">
        <v>329791</v>
      </c>
      <c r="M6">
        <f t="shared" si="5"/>
        <v>349578.46</v>
      </c>
      <c r="N6">
        <f t="shared" si="0"/>
        <v>349579</v>
      </c>
      <c r="O6" s="14">
        <v>349579</v>
      </c>
    </row>
    <row r="10" spans="1:15" x14ac:dyDescent="0.3">
      <c r="A10" s="3" t="s">
        <v>237</v>
      </c>
    </row>
    <row r="11" spans="1:15" x14ac:dyDescent="0.3">
      <c r="A11" s="16">
        <v>25</v>
      </c>
      <c r="B11" s="15">
        <v>288951</v>
      </c>
      <c r="C11">
        <f t="shared" ref="C11:M15" si="6">+B11*1.06</f>
        <v>306288.06</v>
      </c>
      <c r="D11">
        <f t="shared" ref="D11:D15" si="7">+ROUNDUP(C11,0)</f>
        <v>306289</v>
      </c>
      <c r="E11" s="14">
        <v>306289</v>
      </c>
      <c r="G11" s="15">
        <v>301461</v>
      </c>
      <c r="H11">
        <f t="shared" si="6"/>
        <v>319548.66000000003</v>
      </c>
      <c r="I11">
        <f t="shared" ref="I11:I15" si="8">+ROUNDUP(H11,0)</f>
        <v>319549</v>
      </c>
      <c r="J11" s="14">
        <v>319549</v>
      </c>
      <c r="L11" s="15">
        <v>317281</v>
      </c>
      <c r="M11">
        <f t="shared" si="6"/>
        <v>336317.86000000004</v>
      </c>
      <c r="N11">
        <f t="shared" ref="N11:N15" si="9">+ROUNDUP(M11,0)</f>
        <v>336318</v>
      </c>
      <c r="O11" s="14">
        <v>336318</v>
      </c>
    </row>
    <row r="12" spans="1:15" x14ac:dyDescent="0.3">
      <c r="A12" s="16">
        <v>30</v>
      </c>
      <c r="B12" s="15">
        <v>301461</v>
      </c>
      <c r="C12">
        <f t="shared" si="6"/>
        <v>319548.66000000003</v>
      </c>
      <c r="D12">
        <f t="shared" si="7"/>
        <v>319549</v>
      </c>
      <c r="E12" s="14">
        <v>319549</v>
      </c>
      <c r="G12" s="15">
        <v>317281</v>
      </c>
      <c r="H12">
        <f t="shared" ref="H12" si="10">+G12*1.06</f>
        <v>336317.86000000004</v>
      </c>
      <c r="I12">
        <f t="shared" si="8"/>
        <v>336318</v>
      </c>
      <c r="J12" s="14">
        <v>336318</v>
      </c>
      <c r="L12" s="15">
        <v>329791</v>
      </c>
      <c r="M12">
        <f t="shared" ref="M12" si="11">+L12*1.06</f>
        <v>349578.46</v>
      </c>
      <c r="N12">
        <f t="shared" si="9"/>
        <v>349579</v>
      </c>
      <c r="O12" s="14">
        <v>349579</v>
      </c>
    </row>
    <row r="13" spans="1:15" x14ac:dyDescent="0.3">
      <c r="A13" s="16">
        <v>35</v>
      </c>
      <c r="B13" s="15">
        <v>317281</v>
      </c>
      <c r="C13">
        <f t="shared" si="6"/>
        <v>336317.86000000004</v>
      </c>
      <c r="D13">
        <f t="shared" si="7"/>
        <v>336318</v>
      </c>
      <c r="E13" s="14">
        <v>336318</v>
      </c>
      <c r="G13" s="15">
        <v>329791</v>
      </c>
      <c r="H13">
        <f t="shared" ref="H13" si="12">+G13*1.06</f>
        <v>349578.46</v>
      </c>
      <c r="I13">
        <f t="shared" si="8"/>
        <v>349579</v>
      </c>
      <c r="J13" s="14">
        <v>349579</v>
      </c>
      <c r="L13" s="15">
        <v>343755</v>
      </c>
      <c r="M13">
        <f t="shared" ref="M13" si="13">+L13*1.06</f>
        <v>364380.30000000005</v>
      </c>
      <c r="N13">
        <f t="shared" si="9"/>
        <v>364381</v>
      </c>
      <c r="O13" s="14">
        <v>364381</v>
      </c>
    </row>
    <row r="14" spans="1:15" x14ac:dyDescent="0.3">
      <c r="A14" s="16">
        <v>40</v>
      </c>
      <c r="B14" s="15">
        <v>329791</v>
      </c>
      <c r="C14">
        <f t="shared" si="6"/>
        <v>349578.46</v>
      </c>
      <c r="D14">
        <f t="shared" si="7"/>
        <v>349579</v>
      </c>
      <c r="E14" s="14">
        <v>349579</v>
      </c>
      <c r="G14" s="15">
        <v>343755</v>
      </c>
      <c r="H14">
        <f t="shared" ref="H14" si="14">+G14*1.06</f>
        <v>364380.30000000005</v>
      </c>
      <c r="I14">
        <f t="shared" si="8"/>
        <v>364381</v>
      </c>
      <c r="J14" s="14">
        <v>364381</v>
      </c>
      <c r="L14" s="15">
        <v>357072</v>
      </c>
      <c r="M14">
        <f t="shared" ref="M14" si="15">+L14*1.06</f>
        <v>378496.32</v>
      </c>
      <c r="N14">
        <f t="shared" si="9"/>
        <v>378497</v>
      </c>
      <c r="O14" s="14">
        <v>378497</v>
      </c>
    </row>
    <row r="15" spans="1:15" x14ac:dyDescent="0.3">
      <c r="A15" s="16">
        <v>50</v>
      </c>
      <c r="B15" s="15">
        <v>343755</v>
      </c>
      <c r="C15">
        <f t="shared" si="6"/>
        <v>364380.30000000005</v>
      </c>
      <c r="D15">
        <f t="shared" si="7"/>
        <v>364381</v>
      </c>
      <c r="E15" s="14">
        <v>364381</v>
      </c>
      <c r="G15" s="15">
        <v>357072</v>
      </c>
      <c r="H15">
        <f t="shared" ref="H15" si="16">+G15*1.06</f>
        <v>378496.32</v>
      </c>
      <c r="I15">
        <f t="shared" si="8"/>
        <v>378497</v>
      </c>
      <c r="J15" s="14">
        <v>378497</v>
      </c>
      <c r="L15" s="15">
        <v>370632</v>
      </c>
      <c r="M15">
        <f t="shared" ref="M15" si="17">+L15*1.06</f>
        <v>392869.92000000004</v>
      </c>
      <c r="N15">
        <f t="shared" si="9"/>
        <v>392870</v>
      </c>
      <c r="O15" s="14">
        <v>392870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59"/>
  <sheetViews>
    <sheetView topLeftCell="A2" workbookViewId="0">
      <selection activeCell="H22" sqref="H22"/>
    </sheetView>
  </sheetViews>
  <sheetFormatPr baseColWidth="10" defaultColWidth="11" defaultRowHeight="13.8" x14ac:dyDescent="0.3"/>
  <cols>
    <col min="1" max="1" width="9.8984375" bestFit="1" customWidth="1"/>
    <col min="2" max="2" width="30.59765625" bestFit="1" customWidth="1"/>
    <col min="3" max="3" width="11.3984375" hidden="1" customWidth="1"/>
    <col min="4" max="4" width="15.69921875" hidden="1" customWidth="1"/>
    <col min="5" max="5" width="15.5" customWidth="1"/>
  </cols>
  <sheetData>
    <row r="1" spans="1:5" ht="15.6" x14ac:dyDescent="0.3">
      <c r="A1" s="29" t="s">
        <v>243</v>
      </c>
      <c r="B1" s="29"/>
      <c r="C1" s="29"/>
      <c r="D1" s="29"/>
      <c r="E1" s="29"/>
    </row>
    <row r="2" spans="1:5" ht="15.6" x14ac:dyDescent="0.3">
      <c r="A2" s="30" t="s">
        <v>247</v>
      </c>
      <c r="B2" s="30"/>
      <c r="C2" s="30"/>
      <c r="D2" s="30"/>
      <c r="E2" s="30"/>
    </row>
    <row r="14" spans="1:5" ht="14.4" thickBot="1" x14ac:dyDescent="0.35"/>
    <row r="15" spans="1:5" ht="14.4" thickBot="1" x14ac:dyDescent="0.35">
      <c r="A15" s="13" t="s">
        <v>136</v>
      </c>
      <c r="B15" s="13" t="s">
        <v>137</v>
      </c>
      <c r="C15" s="13" t="s">
        <v>138</v>
      </c>
      <c r="D15" s="13" t="s">
        <v>139</v>
      </c>
      <c r="E15" s="13" t="s">
        <v>140</v>
      </c>
    </row>
    <row r="16" spans="1:5" ht="15" thickBot="1" x14ac:dyDescent="0.35">
      <c r="A16" s="17">
        <v>5000</v>
      </c>
      <c r="B16" s="18" t="s">
        <v>244</v>
      </c>
      <c r="C16" s="19">
        <v>16672</v>
      </c>
      <c r="D16" s="20">
        <v>35</v>
      </c>
      <c r="E16" s="6">
        <f t="shared" ref="E16:E18" si="0">(((C16*(D16)))/100)+C16</f>
        <v>22507.200000000001</v>
      </c>
    </row>
    <row r="17" spans="1:5" ht="15" thickBot="1" x14ac:dyDescent="0.35">
      <c r="A17" s="4">
        <v>5001</v>
      </c>
      <c r="B17" s="2" t="s">
        <v>245</v>
      </c>
      <c r="C17" s="1">
        <v>16672</v>
      </c>
      <c r="D17" s="20">
        <v>35</v>
      </c>
      <c r="E17" s="6">
        <f t="shared" si="0"/>
        <v>22507.200000000001</v>
      </c>
    </row>
    <row r="18" spans="1:5" ht="15" thickBot="1" x14ac:dyDescent="0.35">
      <c r="A18" s="4">
        <v>4000</v>
      </c>
      <c r="B18" s="2" t="s">
        <v>246</v>
      </c>
      <c r="C18" s="1">
        <v>16672</v>
      </c>
      <c r="D18" s="20">
        <v>35</v>
      </c>
      <c r="E18" s="6">
        <f t="shared" si="0"/>
        <v>22507.200000000001</v>
      </c>
    </row>
    <row r="19" spans="1:5" ht="15" thickBot="1" x14ac:dyDescent="0.35">
      <c r="A19" s="4">
        <v>7000</v>
      </c>
      <c r="B19" s="2" t="s">
        <v>141</v>
      </c>
      <c r="C19" s="1">
        <v>13890</v>
      </c>
      <c r="D19" s="20">
        <v>35</v>
      </c>
      <c r="E19" s="6">
        <f t="shared" ref="E19:E59" si="1">(((C19*(D19)))/100)+C19</f>
        <v>18751.5</v>
      </c>
    </row>
    <row r="20" spans="1:5" ht="15" thickBot="1" x14ac:dyDescent="0.35">
      <c r="A20" s="4" t="s">
        <v>63</v>
      </c>
      <c r="B20" s="2" t="s">
        <v>64</v>
      </c>
      <c r="C20" s="1">
        <v>477</v>
      </c>
      <c r="D20" s="20">
        <v>35</v>
      </c>
      <c r="E20" s="6">
        <f t="shared" si="1"/>
        <v>643.95000000000005</v>
      </c>
    </row>
    <row r="21" spans="1:5" ht="15" thickBot="1" x14ac:dyDescent="0.35">
      <c r="A21" s="4" t="s">
        <v>65</v>
      </c>
      <c r="B21" s="2" t="s">
        <v>66</v>
      </c>
      <c r="C21" s="1">
        <v>1272</v>
      </c>
      <c r="D21" s="20">
        <v>35</v>
      </c>
      <c r="E21" s="6">
        <f t="shared" si="1"/>
        <v>1717.2</v>
      </c>
    </row>
    <row r="22" spans="1:5" ht="15" thickBot="1" x14ac:dyDescent="0.35">
      <c r="A22" s="4">
        <v>6000</v>
      </c>
      <c r="B22" s="2" t="s">
        <v>67</v>
      </c>
      <c r="C22" s="1">
        <v>16551</v>
      </c>
      <c r="D22" s="20">
        <v>35</v>
      </c>
      <c r="E22" s="6">
        <f t="shared" si="1"/>
        <v>22343.85</v>
      </c>
    </row>
    <row r="23" spans="1:5" ht="15" thickBot="1" x14ac:dyDescent="0.35">
      <c r="A23" s="4">
        <v>6001</v>
      </c>
      <c r="B23" s="2" t="s">
        <v>68</v>
      </c>
      <c r="C23" s="1">
        <v>16551</v>
      </c>
      <c r="D23" s="20">
        <v>35</v>
      </c>
      <c r="E23" s="6">
        <f t="shared" si="1"/>
        <v>22343.85</v>
      </c>
    </row>
    <row r="24" spans="1:5" ht="15" thickBot="1" x14ac:dyDescent="0.35">
      <c r="A24" s="4">
        <v>6002</v>
      </c>
      <c r="B24" s="2" t="s">
        <v>69</v>
      </c>
      <c r="C24" s="1">
        <v>16551</v>
      </c>
      <c r="D24" s="20">
        <v>35</v>
      </c>
      <c r="E24" s="6">
        <f t="shared" si="1"/>
        <v>22343.85</v>
      </c>
    </row>
    <row r="25" spans="1:5" ht="15" thickBot="1" x14ac:dyDescent="0.35">
      <c r="A25" s="4">
        <v>6003</v>
      </c>
      <c r="B25" s="2" t="s">
        <v>70</v>
      </c>
      <c r="C25" s="1">
        <v>16551</v>
      </c>
      <c r="D25" s="20">
        <v>35</v>
      </c>
      <c r="E25" s="6">
        <f t="shared" si="1"/>
        <v>22343.85</v>
      </c>
    </row>
    <row r="26" spans="1:5" ht="15" thickBot="1" x14ac:dyDescent="0.35">
      <c r="A26" s="4">
        <v>8020</v>
      </c>
      <c r="B26" s="2" t="s">
        <v>71</v>
      </c>
      <c r="C26" s="1">
        <v>16551</v>
      </c>
      <c r="D26" s="20">
        <v>35</v>
      </c>
      <c r="E26" s="6">
        <f t="shared" si="1"/>
        <v>22343.85</v>
      </c>
    </row>
    <row r="27" spans="1:5" ht="15" thickBot="1" x14ac:dyDescent="0.35">
      <c r="A27" s="4">
        <v>8021</v>
      </c>
      <c r="B27" s="2" t="s">
        <v>72</v>
      </c>
      <c r="C27" s="1">
        <v>16551</v>
      </c>
      <c r="D27" s="20">
        <v>35</v>
      </c>
      <c r="E27" s="6">
        <f t="shared" si="1"/>
        <v>22343.85</v>
      </c>
    </row>
    <row r="28" spans="1:5" ht="15" thickBot="1" x14ac:dyDescent="0.35">
      <c r="A28" s="4">
        <v>7080</v>
      </c>
      <c r="B28" s="2" t="s">
        <v>73</v>
      </c>
      <c r="C28" s="1">
        <v>16551</v>
      </c>
      <c r="D28" s="20">
        <v>35</v>
      </c>
      <c r="E28" s="6">
        <f t="shared" si="1"/>
        <v>22343.85</v>
      </c>
    </row>
    <row r="29" spans="1:5" ht="15" thickBot="1" x14ac:dyDescent="0.35">
      <c r="A29" s="4">
        <v>1000</v>
      </c>
      <c r="B29" s="2" t="s">
        <v>82</v>
      </c>
      <c r="C29" s="1">
        <v>26400</v>
      </c>
      <c r="D29" s="20">
        <v>35</v>
      </c>
      <c r="E29" s="6">
        <f t="shared" si="1"/>
        <v>35640</v>
      </c>
    </row>
    <row r="30" spans="1:5" ht="15" thickBot="1" x14ac:dyDescent="0.35">
      <c r="A30" s="4" t="s">
        <v>83</v>
      </c>
      <c r="B30" s="2" t="s">
        <v>84</v>
      </c>
      <c r="C30" s="1">
        <v>28182</v>
      </c>
      <c r="D30" s="20">
        <v>35</v>
      </c>
      <c r="E30" s="6">
        <f t="shared" si="1"/>
        <v>38045.699999999997</v>
      </c>
    </row>
    <row r="31" spans="1:5" ht="15" thickBot="1" x14ac:dyDescent="0.35">
      <c r="A31" s="4" t="s">
        <v>87</v>
      </c>
      <c r="B31" s="2" t="s">
        <v>88</v>
      </c>
      <c r="C31" s="1">
        <v>2579</v>
      </c>
      <c r="D31" s="20">
        <v>35</v>
      </c>
      <c r="E31" s="6">
        <f t="shared" si="1"/>
        <v>3481.65</v>
      </c>
    </row>
    <row r="32" spans="1:5" ht="15" thickBot="1" x14ac:dyDescent="0.35">
      <c r="A32" s="4" t="s">
        <v>89</v>
      </c>
      <c r="B32" s="2" t="s">
        <v>90</v>
      </c>
      <c r="C32" s="1">
        <v>8402</v>
      </c>
      <c r="D32" s="20">
        <v>35</v>
      </c>
      <c r="E32" s="6">
        <f t="shared" si="1"/>
        <v>11342.7</v>
      </c>
    </row>
    <row r="33" spans="1:5" ht="15" thickBot="1" x14ac:dyDescent="0.35">
      <c r="A33" s="4" t="s">
        <v>91</v>
      </c>
      <c r="B33" s="2" t="s">
        <v>92</v>
      </c>
      <c r="C33" s="1">
        <v>329</v>
      </c>
      <c r="D33" s="20">
        <v>35</v>
      </c>
      <c r="E33" s="6">
        <f t="shared" si="1"/>
        <v>444.15</v>
      </c>
    </row>
    <row r="34" spans="1:5" ht="15" thickBot="1" x14ac:dyDescent="0.35">
      <c r="A34" s="4" t="s">
        <v>93</v>
      </c>
      <c r="B34" s="2" t="s">
        <v>94</v>
      </c>
      <c r="C34" s="1">
        <v>845</v>
      </c>
      <c r="D34" s="20">
        <v>35</v>
      </c>
      <c r="E34" s="6">
        <f t="shared" si="1"/>
        <v>1140.75</v>
      </c>
    </row>
    <row r="35" spans="1:5" ht="15" thickBot="1" x14ac:dyDescent="0.35">
      <c r="A35" s="4">
        <v>7718</v>
      </c>
      <c r="B35" s="2" t="s">
        <v>95</v>
      </c>
      <c r="C35" s="1">
        <v>33256</v>
      </c>
      <c r="D35" s="20">
        <v>35</v>
      </c>
      <c r="E35" s="6">
        <f t="shared" si="1"/>
        <v>44895.6</v>
      </c>
    </row>
    <row r="36" spans="1:5" ht="15" thickBot="1" x14ac:dyDescent="0.35">
      <c r="A36" s="4">
        <v>8013</v>
      </c>
      <c r="B36" s="2" t="s">
        <v>96</v>
      </c>
      <c r="C36" s="1">
        <v>16254</v>
      </c>
      <c r="D36" s="20">
        <v>35</v>
      </c>
      <c r="E36" s="6">
        <f t="shared" si="1"/>
        <v>21942.9</v>
      </c>
    </row>
    <row r="37" spans="1:5" ht="15" thickBot="1" x14ac:dyDescent="0.35">
      <c r="A37" s="4">
        <v>8023</v>
      </c>
      <c r="B37" s="2" t="s">
        <v>73</v>
      </c>
      <c r="C37" s="1">
        <v>16551</v>
      </c>
      <c r="D37" s="20">
        <v>35</v>
      </c>
      <c r="E37" s="6">
        <f t="shared" si="1"/>
        <v>22343.85</v>
      </c>
    </row>
    <row r="38" spans="1:5" ht="15" thickBot="1" x14ac:dyDescent="0.35">
      <c r="A38" s="4">
        <v>8800</v>
      </c>
      <c r="B38" s="2" t="s">
        <v>97</v>
      </c>
      <c r="C38" s="1">
        <v>36770</v>
      </c>
      <c r="D38" s="20">
        <v>35</v>
      </c>
      <c r="E38" s="6">
        <f t="shared" si="1"/>
        <v>49639.5</v>
      </c>
    </row>
    <row r="39" spans="1:5" ht="15" thickBot="1" x14ac:dyDescent="0.35">
      <c r="A39" s="4">
        <v>8802</v>
      </c>
      <c r="B39" s="2" t="s">
        <v>98</v>
      </c>
      <c r="C39" s="1">
        <v>36770</v>
      </c>
      <c r="D39" s="20">
        <v>35</v>
      </c>
      <c r="E39" s="6">
        <f t="shared" si="1"/>
        <v>49639.5</v>
      </c>
    </row>
    <row r="40" spans="1:5" ht="15" thickBot="1" x14ac:dyDescent="0.35">
      <c r="A40" s="4">
        <v>8783</v>
      </c>
      <c r="B40" s="2" t="s">
        <v>99</v>
      </c>
      <c r="C40" s="1">
        <v>36770</v>
      </c>
      <c r="D40" s="20">
        <v>35</v>
      </c>
      <c r="E40" s="6">
        <f t="shared" si="1"/>
        <v>49639.5</v>
      </c>
    </row>
    <row r="41" spans="1:5" ht="15" thickBot="1" x14ac:dyDescent="0.35">
      <c r="A41" s="4">
        <v>8780</v>
      </c>
      <c r="B41" s="2" t="s">
        <v>100</v>
      </c>
      <c r="C41" s="1">
        <v>36770</v>
      </c>
      <c r="D41" s="20">
        <v>35</v>
      </c>
      <c r="E41" s="6">
        <f t="shared" si="1"/>
        <v>49639.5</v>
      </c>
    </row>
    <row r="42" spans="1:5" ht="15" thickBot="1" x14ac:dyDescent="0.35">
      <c r="A42" s="4">
        <v>8786</v>
      </c>
      <c r="B42" s="2" t="s">
        <v>101</v>
      </c>
      <c r="C42" s="1">
        <v>36770</v>
      </c>
      <c r="D42" s="20">
        <v>35</v>
      </c>
      <c r="E42" s="6">
        <f t="shared" si="1"/>
        <v>49639.5</v>
      </c>
    </row>
    <row r="43" spans="1:5" ht="15" thickBot="1" x14ac:dyDescent="0.35">
      <c r="A43" s="4">
        <v>8715</v>
      </c>
      <c r="B43" s="2" t="s">
        <v>102</v>
      </c>
      <c r="C43" s="1">
        <v>36770</v>
      </c>
      <c r="D43" s="20">
        <v>35</v>
      </c>
      <c r="E43" s="6">
        <f t="shared" si="1"/>
        <v>49639.5</v>
      </c>
    </row>
    <row r="44" spans="1:5" ht="15" thickBot="1" x14ac:dyDescent="0.35">
      <c r="A44" s="4">
        <v>8718</v>
      </c>
      <c r="B44" s="2" t="s">
        <v>103</v>
      </c>
      <c r="C44" s="1">
        <v>36770</v>
      </c>
      <c r="D44" s="20">
        <v>35</v>
      </c>
      <c r="E44" s="6">
        <f t="shared" si="1"/>
        <v>49639.5</v>
      </c>
    </row>
    <row r="45" spans="1:5" ht="15" thickBot="1" x14ac:dyDescent="0.35">
      <c r="A45" s="4" t="s">
        <v>104</v>
      </c>
      <c r="B45" s="2" t="s">
        <v>105</v>
      </c>
      <c r="C45" s="1">
        <v>36770</v>
      </c>
      <c r="D45" s="20">
        <v>35</v>
      </c>
      <c r="E45" s="6">
        <f t="shared" si="1"/>
        <v>49639.5</v>
      </c>
    </row>
    <row r="46" spans="1:5" ht="15" thickBot="1" x14ac:dyDescent="0.35">
      <c r="A46" s="4">
        <v>7715</v>
      </c>
      <c r="B46" s="2" t="s">
        <v>106</v>
      </c>
      <c r="C46" s="1">
        <v>33256</v>
      </c>
      <c r="D46" s="20">
        <v>35</v>
      </c>
      <c r="E46" s="6">
        <f t="shared" si="1"/>
        <v>44895.6</v>
      </c>
    </row>
    <row r="47" spans="1:5" ht="15" thickBot="1" x14ac:dyDescent="0.35">
      <c r="A47" s="4">
        <v>8746</v>
      </c>
      <c r="B47" s="2" t="s">
        <v>107</v>
      </c>
      <c r="C47" s="1">
        <v>36770</v>
      </c>
      <c r="D47" s="20">
        <v>35</v>
      </c>
      <c r="E47" s="6">
        <f t="shared" si="1"/>
        <v>49639.5</v>
      </c>
    </row>
    <row r="48" spans="1:5" ht="15" thickBot="1" x14ac:dyDescent="0.35">
      <c r="A48" s="4" t="s">
        <v>108</v>
      </c>
      <c r="B48" s="2" t="s">
        <v>82</v>
      </c>
      <c r="C48" s="1">
        <v>34603</v>
      </c>
      <c r="D48" s="20">
        <v>35</v>
      </c>
      <c r="E48" s="6">
        <f t="shared" si="1"/>
        <v>46714.05</v>
      </c>
    </row>
    <row r="49" spans="1:5" ht="15" thickBot="1" x14ac:dyDescent="0.35">
      <c r="A49" s="4">
        <v>8710</v>
      </c>
      <c r="B49" s="2" t="s">
        <v>109</v>
      </c>
      <c r="C49" s="1">
        <v>36770</v>
      </c>
      <c r="D49" s="20">
        <v>35</v>
      </c>
      <c r="E49" s="6">
        <f t="shared" si="1"/>
        <v>49639.5</v>
      </c>
    </row>
    <row r="50" spans="1:5" ht="15" thickBot="1" x14ac:dyDescent="0.35">
      <c r="A50" s="4">
        <v>8801</v>
      </c>
      <c r="B50" s="2" t="s">
        <v>111</v>
      </c>
      <c r="C50" s="1">
        <v>36770</v>
      </c>
      <c r="D50" s="20">
        <v>35</v>
      </c>
      <c r="E50" s="6">
        <f t="shared" si="1"/>
        <v>49639.5</v>
      </c>
    </row>
    <row r="51" spans="1:5" ht="15" thickBot="1" x14ac:dyDescent="0.35">
      <c r="A51" s="4">
        <v>7783</v>
      </c>
      <c r="B51" s="2" t="s">
        <v>112</v>
      </c>
      <c r="C51" s="1">
        <v>33256</v>
      </c>
      <c r="D51" s="20">
        <v>35</v>
      </c>
      <c r="E51" s="6">
        <f t="shared" si="1"/>
        <v>44895.6</v>
      </c>
    </row>
    <row r="52" spans="1:5" ht="15" thickBot="1" x14ac:dyDescent="0.35">
      <c r="A52" s="4" t="s">
        <v>113</v>
      </c>
      <c r="B52" s="2" t="s">
        <v>114</v>
      </c>
      <c r="C52" s="1">
        <v>225218</v>
      </c>
      <c r="D52" s="20">
        <v>35</v>
      </c>
      <c r="E52" s="6">
        <f t="shared" si="1"/>
        <v>304044.3</v>
      </c>
    </row>
    <row r="53" spans="1:5" ht="15" thickBot="1" x14ac:dyDescent="0.35">
      <c r="A53" s="4" t="s">
        <v>115</v>
      </c>
      <c r="B53" s="2" t="s">
        <v>114</v>
      </c>
      <c r="C53" s="1">
        <v>245011</v>
      </c>
      <c r="D53" s="20">
        <v>35</v>
      </c>
      <c r="E53" s="6">
        <f t="shared" si="1"/>
        <v>330764.84999999998</v>
      </c>
    </row>
    <row r="54" spans="1:5" ht="15" thickBot="1" x14ac:dyDescent="0.35">
      <c r="A54" s="4" t="s">
        <v>116</v>
      </c>
      <c r="B54" s="2" t="s">
        <v>117</v>
      </c>
      <c r="C54" s="1">
        <v>177169</v>
      </c>
      <c r="D54" s="20">
        <v>35</v>
      </c>
      <c r="E54" s="6">
        <f t="shared" si="1"/>
        <v>239178.15</v>
      </c>
    </row>
    <row r="55" spans="1:5" ht="15" thickBot="1" x14ac:dyDescent="0.35">
      <c r="A55" s="4" t="s">
        <v>118</v>
      </c>
      <c r="B55" s="2" t="s">
        <v>117</v>
      </c>
      <c r="C55" s="1">
        <v>196009</v>
      </c>
      <c r="D55" s="20">
        <v>35</v>
      </c>
      <c r="E55" s="6">
        <f t="shared" si="1"/>
        <v>264612.15000000002</v>
      </c>
    </row>
    <row r="56" spans="1:5" ht="15" thickBot="1" x14ac:dyDescent="0.35">
      <c r="A56" s="4">
        <v>7600</v>
      </c>
      <c r="B56" s="2" t="s">
        <v>119</v>
      </c>
      <c r="C56" s="1">
        <v>33256</v>
      </c>
      <c r="D56" s="20">
        <v>35</v>
      </c>
      <c r="E56" s="6">
        <f t="shared" si="1"/>
        <v>44895.6</v>
      </c>
    </row>
    <row r="57" spans="1:5" ht="15" thickBot="1" x14ac:dyDescent="0.35">
      <c r="A57" s="4">
        <v>8600</v>
      </c>
      <c r="B57" s="2" t="s">
        <v>121</v>
      </c>
      <c r="C57" s="1">
        <v>36770</v>
      </c>
      <c r="D57" s="20">
        <v>35</v>
      </c>
      <c r="E57" s="6">
        <f t="shared" si="1"/>
        <v>49639.5</v>
      </c>
    </row>
    <row r="58" spans="1:5" ht="15" thickBot="1" x14ac:dyDescent="0.35">
      <c r="A58" s="4" t="s">
        <v>122</v>
      </c>
      <c r="B58" s="2" t="s">
        <v>121</v>
      </c>
      <c r="C58" s="1">
        <v>36770</v>
      </c>
      <c r="D58" s="20">
        <v>35</v>
      </c>
      <c r="E58" s="6">
        <f t="shared" si="1"/>
        <v>49639.5</v>
      </c>
    </row>
    <row r="59" spans="1:5" ht="15" thickBot="1" x14ac:dyDescent="0.35">
      <c r="A59" s="7">
        <v>1004</v>
      </c>
      <c r="B59" s="8" t="s">
        <v>135</v>
      </c>
      <c r="C59" s="9">
        <v>45317</v>
      </c>
      <c r="D59" s="20">
        <v>35</v>
      </c>
      <c r="E59" s="11">
        <f t="shared" si="1"/>
        <v>61177.95</v>
      </c>
    </row>
  </sheetData>
  <autoFilter ref="A15:E59" xr:uid="{00000000-0009-0000-0000-00000A000000}"/>
  <mergeCells count="2">
    <mergeCell ref="A1:E1"/>
    <mergeCell ref="A2:E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0"/>
  <sheetViews>
    <sheetView topLeftCell="A5" workbookViewId="0">
      <selection activeCell="H23" sqref="H23"/>
    </sheetView>
  </sheetViews>
  <sheetFormatPr baseColWidth="10" defaultRowHeight="13.8" x14ac:dyDescent="0.3"/>
  <cols>
    <col min="1" max="1" width="8.59765625" bestFit="1" customWidth="1"/>
    <col min="2" max="2" width="24.8984375" bestFit="1" customWidth="1"/>
    <col min="3" max="3" width="10.5" hidden="1" customWidth="1"/>
    <col min="4" max="4" width="13.59765625" hidden="1" customWidth="1"/>
    <col min="5" max="5" width="13" bestFit="1" customWidth="1"/>
  </cols>
  <sheetData>
    <row r="1" spans="1:5" ht="15.6" x14ac:dyDescent="0.3">
      <c r="A1" s="29" t="s">
        <v>243</v>
      </c>
      <c r="B1" s="29"/>
      <c r="C1" s="29"/>
      <c r="D1" s="29"/>
      <c r="E1" s="29"/>
    </row>
    <row r="2" spans="1:5" ht="15.6" x14ac:dyDescent="0.3">
      <c r="A2" s="30" t="s">
        <v>247</v>
      </c>
      <c r="B2" s="30"/>
      <c r="C2" s="30"/>
      <c r="D2" s="30"/>
      <c r="E2" s="30"/>
    </row>
    <row r="14" spans="1:5" ht="14.4" thickBot="1" x14ac:dyDescent="0.35"/>
    <row r="15" spans="1:5" ht="14.4" thickBot="1" x14ac:dyDescent="0.35">
      <c r="A15" s="13" t="s">
        <v>136</v>
      </c>
      <c r="B15" s="13" t="s">
        <v>137</v>
      </c>
      <c r="C15" s="13" t="s">
        <v>138</v>
      </c>
      <c r="D15" s="13" t="s">
        <v>139</v>
      </c>
      <c r="E15" s="13" t="s">
        <v>140</v>
      </c>
    </row>
    <row r="16" spans="1:5" ht="15" thickBot="1" x14ac:dyDescent="0.35">
      <c r="A16" s="17" t="s">
        <v>51</v>
      </c>
      <c r="B16" s="18" t="s">
        <v>52</v>
      </c>
      <c r="C16" s="19">
        <v>9397</v>
      </c>
      <c r="D16" s="20">
        <v>35</v>
      </c>
      <c r="E16" s="21">
        <f>(((C16*(D16)))/100)+C16</f>
        <v>12685.95</v>
      </c>
    </row>
    <row r="17" spans="1:5" ht="15" thickBot="1" x14ac:dyDescent="0.35">
      <c r="A17" s="4" t="s">
        <v>53</v>
      </c>
      <c r="B17" s="2" t="s">
        <v>54</v>
      </c>
      <c r="C17" s="1">
        <v>7950</v>
      </c>
      <c r="D17" s="20">
        <v>35</v>
      </c>
      <c r="E17" s="6">
        <f>(((C17*(D17)))/100)+C17</f>
        <v>10732.5</v>
      </c>
    </row>
    <row r="18" spans="1:5" ht="15" thickBot="1" x14ac:dyDescent="0.35">
      <c r="A18" s="4" t="s">
        <v>74</v>
      </c>
      <c r="B18" s="2" t="s">
        <v>75</v>
      </c>
      <c r="C18" s="1">
        <v>14692</v>
      </c>
      <c r="D18" s="20">
        <v>35</v>
      </c>
      <c r="E18" s="6">
        <f>(((C18*(D18)))/100)+C18</f>
        <v>19834.2</v>
      </c>
    </row>
    <row r="19" spans="1:5" ht="15" thickBot="1" x14ac:dyDescent="0.35">
      <c r="A19" s="4" t="s">
        <v>76</v>
      </c>
      <c r="B19" s="2" t="s">
        <v>77</v>
      </c>
      <c r="C19" s="1">
        <v>14829</v>
      </c>
      <c r="D19" s="20">
        <v>35</v>
      </c>
      <c r="E19" s="6">
        <f t="shared" ref="E19:E21" si="0">(((C19*(D19)))/100)+C19</f>
        <v>20019.150000000001</v>
      </c>
    </row>
    <row r="20" spans="1:5" ht="15" thickBot="1" x14ac:dyDescent="0.35">
      <c r="A20" s="4" t="s">
        <v>78</v>
      </c>
      <c r="B20" s="2" t="s">
        <v>79</v>
      </c>
      <c r="C20" s="1">
        <v>15032</v>
      </c>
      <c r="D20" s="20">
        <v>35</v>
      </c>
      <c r="E20" s="6">
        <f t="shared" si="0"/>
        <v>20293.2</v>
      </c>
    </row>
    <row r="21" spans="1:5" ht="15" thickBot="1" x14ac:dyDescent="0.35">
      <c r="A21" s="4" t="s">
        <v>80</v>
      </c>
      <c r="B21" s="2" t="s">
        <v>81</v>
      </c>
      <c r="C21" s="1">
        <v>11194</v>
      </c>
      <c r="D21" s="20">
        <v>35</v>
      </c>
      <c r="E21" s="6">
        <f t="shared" si="0"/>
        <v>15111.9</v>
      </c>
    </row>
    <row r="22" spans="1:5" ht="15" thickBot="1" x14ac:dyDescent="0.35">
      <c r="A22" s="4" t="s">
        <v>55</v>
      </c>
      <c r="B22" s="2" t="s">
        <v>56</v>
      </c>
      <c r="C22" s="1">
        <v>506</v>
      </c>
      <c r="D22" s="20">
        <v>35</v>
      </c>
      <c r="E22" s="6">
        <f>(((C22*(D22)))/100)+C22</f>
        <v>683.1</v>
      </c>
    </row>
    <row r="23" spans="1:5" ht="15" thickBot="1" x14ac:dyDescent="0.35">
      <c r="A23" s="4" t="s">
        <v>85</v>
      </c>
      <c r="B23" s="2" t="s">
        <v>86</v>
      </c>
      <c r="C23" s="1">
        <v>12720</v>
      </c>
      <c r="D23" s="20">
        <v>35</v>
      </c>
      <c r="E23" s="6">
        <f>(((C23*(D23)))/100)+C23</f>
        <v>17172</v>
      </c>
    </row>
    <row r="24" spans="1:5" ht="15" thickBot="1" x14ac:dyDescent="0.35">
      <c r="A24" s="4">
        <v>9006</v>
      </c>
      <c r="B24" s="2" t="s">
        <v>57</v>
      </c>
      <c r="C24" s="1">
        <v>9776</v>
      </c>
      <c r="D24" s="20">
        <v>35</v>
      </c>
      <c r="E24" s="6">
        <v>9776</v>
      </c>
    </row>
    <row r="25" spans="1:5" ht="15" thickBot="1" x14ac:dyDescent="0.35">
      <c r="A25" s="4" t="s">
        <v>58</v>
      </c>
      <c r="B25" s="2" t="s">
        <v>59</v>
      </c>
      <c r="C25" s="1">
        <v>11236</v>
      </c>
      <c r="D25" s="20">
        <v>35</v>
      </c>
      <c r="E25" s="6">
        <v>11236</v>
      </c>
    </row>
    <row r="26" spans="1:5" ht="15" thickBot="1" x14ac:dyDescent="0.35">
      <c r="A26" s="4">
        <v>9003</v>
      </c>
      <c r="B26" s="2" t="s">
        <v>60</v>
      </c>
      <c r="C26" s="1">
        <v>7596</v>
      </c>
      <c r="D26" s="20">
        <v>35</v>
      </c>
      <c r="E26" s="6">
        <v>7596</v>
      </c>
    </row>
    <row r="27" spans="1:5" ht="15" thickBot="1" x14ac:dyDescent="0.35">
      <c r="A27" s="4">
        <v>9001</v>
      </c>
      <c r="B27" s="2" t="s">
        <v>61</v>
      </c>
      <c r="C27" s="1">
        <v>2039</v>
      </c>
      <c r="D27" s="20">
        <v>35</v>
      </c>
      <c r="E27" s="6">
        <v>2039</v>
      </c>
    </row>
    <row r="28" spans="1:5" ht="15" thickBot="1" x14ac:dyDescent="0.35">
      <c r="A28" s="4">
        <v>9004</v>
      </c>
      <c r="B28" s="2" t="s">
        <v>110</v>
      </c>
      <c r="C28" s="1">
        <v>6652</v>
      </c>
      <c r="D28" s="20">
        <v>35</v>
      </c>
      <c r="E28" s="6">
        <v>6652</v>
      </c>
    </row>
    <row r="29" spans="1:5" ht="15" thickBot="1" x14ac:dyDescent="0.35">
      <c r="A29" s="4">
        <v>9007</v>
      </c>
      <c r="B29" s="2" t="s">
        <v>120</v>
      </c>
      <c r="C29" s="1">
        <v>17672</v>
      </c>
      <c r="D29" s="20">
        <v>35</v>
      </c>
      <c r="E29" s="6">
        <v>17672</v>
      </c>
    </row>
    <row r="30" spans="1:5" ht="15" thickBot="1" x14ac:dyDescent="0.35">
      <c r="A30" s="7">
        <v>9000</v>
      </c>
      <c r="B30" s="8" t="s">
        <v>62</v>
      </c>
      <c r="C30" s="9">
        <v>3316</v>
      </c>
      <c r="D30" s="20">
        <v>35</v>
      </c>
      <c r="E30" s="11">
        <f>(((C30*(D30)))/100)+C30</f>
        <v>4476.6000000000004</v>
      </c>
    </row>
  </sheetData>
  <autoFilter ref="A15:E30" xr:uid="{00000000-0009-0000-0000-00000B000000}"/>
  <mergeCells count="2">
    <mergeCell ref="A1:E1"/>
    <mergeCell ref="A2:E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1"/>
  <sheetViews>
    <sheetView workbookViewId="0">
      <selection activeCell="F20" sqref="F20"/>
    </sheetView>
  </sheetViews>
  <sheetFormatPr baseColWidth="10" defaultRowHeight="13.8" x14ac:dyDescent="0.3"/>
  <cols>
    <col min="1" max="1" width="10.3984375" bestFit="1" customWidth="1"/>
    <col min="2" max="2" width="26.3984375" bestFit="1" customWidth="1"/>
    <col min="3" max="3" width="10.5" hidden="1" customWidth="1"/>
    <col min="4" max="4" width="11.59765625" hidden="1" customWidth="1"/>
    <col min="5" max="5" width="15.5" customWidth="1"/>
  </cols>
  <sheetData>
    <row r="1" spans="1:5" ht="15.6" x14ac:dyDescent="0.3">
      <c r="A1" s="29" t="s">
        <v>243</v>
      </c>
      <c r="B1" s="29"/>
      <c r="C1" s="29"/>
      <c r="D1" s="29"/>
      <c r="E1" s="29"/>
    </row>
    <row r="2" spans="1:5" ht="15.6" x14ac:dyDescent="0.3">
      <c r="A2" s="30" t="s">
        <v>247</v>
      </c>
      <c r="B2" s="30"/>
      <c r="C2" s="30"/>
      <c r="D2" s="30"/>
      <c r="E2" s="30"/>
    </row>
    <row r="13" spans="1:5" ht="18" customHeight="1" thickBot="1" x14ac:dyDescent="0.35"/>
    <row r="14" spans="1:5" ht="14.4" thickBot="1" x14ac:dyDescent="0.35">
      <c r="A14" s="13" t="s">
        <v>136</v>
      </c>
      <c r="B14" s="13" t="s">
        <v>137</v>
      </c>
      <c r="C14" s="13" t="s">
        <v>138</v>
      </c>
      <c r="D14" s="13" t="s">
        <v>139</v>
      </c>
      <c r="E14" s="13" t="s">
        <v>140</v>
      </c>
    </row>
    <row r="15" spans="1:5" ht="14.4" x14ac:dyDescent="0.3">
      <c r="A15" s="17" t="s">
        <v>123</v>
      </c>
      <c r="B15" s="18" t="s">
        <v>124</v>
      </c>
      <c r="C15" s="19">
        <v>21685</v>
      </c>
      <c r="D15" s="20">
        <v>35</v>
      </c>
      <c r="E15" s="21">
        <f t="shared" ref="E15:E21" si="0">(((C15*(D15)))/100)+C15</f>
        <v>29274.75</v>
      </c>
    </row>
    <row r="16" spans="1:5" ht="14.4" x14ac:dyDescent="0.3">
      <c r="A16" s="4" t="s">
        <v>125</v>
      </c>
      <c r="B16" s="2" t="s">
        <v>126</v>
      </c>
      <c r="C16" s="1">
        <v>21685</v>
      </c>
      <c r="D16" s="5">
        <v>35</v>
      </c>
      <c r="E16" s="6">
        <f t="shared" si="0"/>
        <v>29274.75</v>
      </c>
    </row>
    <row r="17" spans="1:5" ht="14.4" x14ac:dyDescent="0.3">
      <c r="A17" s="4" t="s">
        <v>127</v>
      </c>
      <c r="B17" s="2" t="s">
        <v>128</v>
      </c>
      <c r="C17" s="1">
        <v>15247</v>
      </c>
      <c r="D17" s="5">
        <v>35</v>
      </c>
      <c r="E17" s="6">
        <f t="shared" si="0"/>
        <v>20583.45</v>
      </c>
    </row>
    <row r="18" spans="1:5" ht="14.4" x14ac:dyDescent="0.3">
      <c r="A18" s="4" t="s">
        <v>129</v>
      </c>
      <c r="B18" s="2" t="s">
        <v>130</v>
      </c>
      <c r="C18" s="1">
        <v>15247</v>
      </c>
      <c r="D18" s="5">
        <v>35</v>
      </c>
      <c r="E18" s="6">
        <f t="shared" si="0"/>
        <v>20583.45</v>
      </c>
    </row>
    <row r="19" spans="1:5" ht="14.4" x14ac:dyDescent="0.3">
      <c r="A19" s="4" t="s">
        <v>131</v>
      </c>
      <c r="B19" s="2" t="s">
        <v>132</v>
      </c>
      <c r="C19" s="1">
        <v>12614</v>
      </c>
      <c r="D19" s="5">
        <v>35</v>
      </c>
      <c r="E19" s="6">
        <f t="shared" si="0"/>
        <v>17028.900000000001</v>
      </c>
    </row>
    <row r="20" spans="1:5" ht="14.4" x14ac:dyDescent="0.3">
      <c r="A20" s="4" t="s">
        <v>133</v>
      </c>
      <c r="B20" s="2" t="s">
        <v>132</v>
      </c>
      <c r="C20" s="1">
        <v>14734</v>
      </c>
      <c r="D20" s="5">
        <v>35</v>
      </c>
      <c r="E20" s="6">
        <f t="shared" si="0"/>
        <v>19890.900000000001</v>
      </c>
    </row>
    <row r="21" spans="1:5" ht="15" thickBot="1" x14ac:dyDescent="0.35">
      <c r="A21" s="7" t="s">
        <v>134</v>
      </c>
      <c r="B21" s="8" t="s">
        <v>132</v>
      </c>
      <c r="C21" s="9">
        <v>16854</v>
      </c>
      <c r="D21" s="10">
        <v>35</v>
      </c>
      <c r="E21" s="11">
        <f t="shared" si="0"/>
        <v>22752.9</v>
      </c>
    </row>
  </sheetData>
  <autoFilter ref="A14:E22" xr:uid="{00000000-0009-0000-0000-00000C000000}"/>
  <mergeCells count="2">
    <mergeCell ref="A1:E1"/>
    <mergeCell ref="A2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ETNA</vt:lpstr>
      <vt:lpstr>ESSENTIA</vt:lpstr>
      <vt:lpstr>DESIGNIA</vt:lpstr>
      <vt:lpstr>VESTA</vt:lpstr>
      <vt:lpstr>ECONOMICA</vt:lpstr>
      <vt:lpstr>ZINGARA</vt:lpstr>
      <vt:lpstr>NOVA</vt:lpstr>
      <vt:lpstr>LAVADERO</vt:lpstr>
      <vt:lpstr>Hoja1</vt:lpstr>
      <vt:lpstr>ACCESORIOS</vt:lpstr>
      <vt:lpstr>REPUESTOS</vt:lpstr>
      <vt:lpstr>ADICIONALES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Laura Sosa</cp:lastModifiedBy>
  <dcterms:created xsi:type="dcterms:W3CDTF">2025-10-31T15:52:24Z</dcterms:created>
  <dcterms:modified xsi:type="dcterms:W3CDTF">2026-03-09T19:04:58Z</dcterms:modified>
</cp:coreProperties>
</file>